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d.docs.live.net/9cf37146c9416c53/ICOM/Aufgabe - DamageOnto/DamageOnto/"/>
    </mc:Choice>
  </mc:AlternateContent>
  <xr:revisionPtr revIDLastSave="622" documentId="8_{6ADBF94F-B126-432D-9CB9-C3A5E1A101C4}" xr6:coauthVersionLast="47" xr6:coauthVersionMax="47" xr10:uidLastSave="{B9EBC4CC-EA80-47ED-9125-9F62A7832ED9}"/>
  <bookViews>
    <workbookView xWindow="-120" yWindow="-120" windowWidth="38640" windowHeight="21120" activeTab="2" xr2:uid="{42FDCD99-A1B0-4793-B24B-02C6ACA5CE3E}"/>
  </bookViews>
  <sheets>
    <sheet name="XML Structure" sheetId="2" r:id="rId1"/>
    <sheet name="Codes" sheetId="5" r:id="rId2"/>
    <sheet name="Classes bzw. Taxonomies" sheetId="4" r:id="rId3"/>
    <sheet name="Notes" sheetId="3" r:id="rId4"/>
    <sheet name="Data Properties"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5" i="5" l="1"/>
  <c r="H81" i="5"/>
  <c r="H74" i="5"/>
  <c r="H63" i="5"/>
  <c r="H55" i="5"/>
  <c r="H37" i="5"/>
  <c r="H30" i="5"/>
  <c r="H17" i="5"/>
  <c r="H25" i="5"/>
</calcChain>
</file>

<file path=xl/sharedStrings.xml><?xml version="1.0" encoding="utf-8"?>
<sst xmlns="http://schemas.openxmlformats.org/spreadsheetml/2006/main" count="398" uniqueCount="286">
  <si>
    <t>&lt;ZA&gt;</t>
  </si>
  <si>
    <t>&lt;ZB&gt;</t>
  </si>
  <si>
    <t>&lt;ZC&gt;</t>
  </si>
  <si>
    <t>XML Data Structure: Element Categories</t>
  </si>
  <si>
    <t>Inspection Header Information: Following this the data for each inspection, a single pipe length or a single manhole or inspection chamber should be encoded with the identifier ZB, which should also contain the header information of the inspection</t>
  </si>
  <si>
    <t>&lt;DATA&gt;</t>
  </si>
  <si>
    <t>The root of the file should have the identifier DATA.</t>
  </si>
  <si>
    <t>Format Data: This should be followed by the file header information with the identifier ZA.</t>
  </si>
  <si>
    <t>Inspection Data Information: Within each inspection header information should have the identifier B and the observations for the inspection should have the identifier ZC.</t>
  </si>
  <si>
    <t>&lt;A2&gt;</t>
  </si>
  <si>
    <t>&lt;A6&gt;</t>
  </si>
  <si>
    <t>Version of the Data Exchange Format (DIN 2010)</t>
  </si>
  <si>
    <t>Language Code</t>
  </si>
  <si>
    <t>Elements from Annex C or Annex D</t>
  </si>
  <si>
    <t>Annex C</t>
  </si>
  <si>
    <t>Annex D</t>
  </si>
  <si>
    <t>Recommended system for coding of header information for drains and sewers (Pipe Sections)</t>
  </si>
  <si>
    <t>Recommended system for coding of header information for manholes and inspection chambers (Nodes)</t>
  </si>
  <si>
    <t>XML Format vs. Character Separated format</t>
  </si>
  <si>
    <t>Q: Two formats are introduced in DIN EN 13508-2: XML and Charater Separated. When should what be used?</t>
  </si>
  <si>
    <t>Both are OPTIONAL transfer formats. DIN does not mandate either one.</t>
  </si>
  <si>
    <t>For this implementation attempt, I will be using XML, as it is more human-friendly to read!</t>
  </si>
  <si>
    <t>XML: DIN English Example</t>
  </si>
  <si>
    <t>Sewer Damage Classification Ontology</t>
  </si>
  <si>
    <t>Asset</t>
  </si>
  <si>
    <t>The thing being inspected</t>
  </si>
  <si>
    <t>Import from M150-Onto</t>
  </si>
  <si>
    <t>PipeSection</t>
  </si>
  <si>
    <t>Node</t>
  </si>
  <si>
    <t>Manhole</t>
  </si>
  <si>
    <t>InspectionChamber</t>
  </si>
  <si>
    <t>Category</t>
  </si>
  <si>
    <t>Sub-category</t>
  </si>
  <si>
    <t>Code</t>
  </si>
  <si>
    <t>Description</t>
  </si>
  <si>
    <t>BAA</t>
  </si>
  <si>
    <t>Deformation</t>
  </si>
  <si>
    <t>BAB</t>
  </si>
  <si>
    <t>Fissure</t>
  </si>
  <si>
    <t>BAC</t>
  </si>
  <si>
    <t>Break / Collapse</t>
  </si>
  <si>
    <t>BAD</t>
  </si>
  <si>
    <t>BAE</t>
  </si>
  <si>
    <t>Displaced joint</t>
  </si>
  <si>
    <t>BAF</t>
  </si>
  <si>
    <t>BAG</t>
  </si>
  <si>
    <t>BAH</t>
  </si>
  <si>
    <t>BAJ</t>
  </si>
  <si>
    <t>Hole</t>
  </si>
  <si>
    <t>BAK</t>
  </si>
  <si>
    <t>BAL</t>
  </si>
  <si>
    <t>Defective repair</t>
  </si>
  <si>
    <t>BAM</t>
  </si>
  <si>
    <t>BAN</t>
  </si>
  <si>
    <t>BAO</t>
  </si>
  <si>
    <t>Soil visible through defect</t>
  </si>
  <si>
    <t>BAP</t>
  </si>
  <si>
    <t>Void visible through defect</t>
  </si>
  <si>
    <t>BBA</t>
  </si>
  <si>
    <t>Roots</t>
  </si>
  <si>
    <t>BBB</t>
  </si>
  <si>
    <t>Attached deposits</t>
  </si>
  <si>
    <t>BBC</t>
  </si>
  <si>
    <t>Settled deposits</t>
  </si>
  <si>
    <t>BBD</t>
  </si>
  <si>
    <t>Obstacles</t>
  </si>
  <si>
    <t>BBE</t>
  </si>
  <si>
    <t>Encrustation</t>
  </si>
  <si>
    <t>BBF</t>
  </si>
  <si>
    <t>Grease/fats</t>
  </si>
  <si>
    <t>BBG</t>
  </si>
  <si>
    <t>Infiltration</t>
  </si>
  <si>
    <t>BBH</t>
  </si>
  <si>
    <t>Exfiltration</t>
  </si>
  <si>
    <t>Vermin/animals</t>
  </si>
  <si>
    <t>DAB</t>
  </si>
  <si>
    <t>DAC</t>
  </si>
  <si>
    <t>DAD</t>
  </si>
  <si>
    <t>Displaced / Missing / Collapsed masonry or bricks</t>
  </si>
  <si>
    <t>DAE</t>
  </si>
  <si>
    <t>Missing mortar</t>
  </si>
  <si>
    <t>DAF</t>
  </si>
  <si>
    <t>Surface damage</t>
  </si>
  <si>
    <t>DAG</t>
  </si>
  <si>
    <t>Intruding connection</t>
  </si>
  <si>
    <t>DAH</t>
  </si>
  <si>
    <t>Defective connection</t>
  </si>
  <si>
    <t>DAI</t>
  </si>
  <si>
    <t>Intruding sealing material</t>
  </si>
  <si>
    <t>DAJ</t>
  </si>
  <si>
    <t>DAK</t>
  </si>
  <si>
    <t>Lining defect (manhole lining)</t>
  </si>
  <si>
    <t>DAL</t>
  </si>
  <si>
    <t>DAM</t>
  </si>
  <si>
    <t>WEN 13508-2rous wall</t>
  </si>
  <si>
    <t>DAO</t>
  </si>
  <si>
    <t>DAP</t>
  </si>
  <si>
    <t>DAQ</t>
  </si>
  <si>
    <t>Defective step or ladder</t>
  </si>
  <si>
    <t>DAR</t>
  </si>
  <si>
    <t>Defective cover or frame</t>
  </si>
  <si>
    <t>Q: Name for ontology?</t>
  </si>
  <si>
    <t>More?</t>
  </si>
  <si>
    <t>Q: Python based converter from DIN excel to ontology using owlready2</t>
  </si>
  <si>
    <t>Similar approach to OntoParser</t>
  </si>
  <si>
    <t>Q: Benefits of this ontology?</t>
  </si>
  <si>
    <t>Semantic interoperaibility --&gt; Different tools (CCTV, GIS, BIM etc.) can exchange information without losing semantics (meaning)</t>
  </si>
  <si>
    <t>Automated validation and rules, reducing human error</t>
  </si>
  <si>
    <t>Reasoning and decision support (derivation of severity)</t>
  </si>
  <si>
    <t>Q: Outlook??</t>
  </si>
  <si>
    <t>Damage</t>
  </si>
  <si>
    <t>PipeFabricDamage</t>
  </si>
  <si>
    <t>PipeOperationalDamage</t>
  </si>
  <si>
    <t>Location</t>
  </si>
  <si>
    <t>Longitudinal</t>
  </si>
  <si>
    <t>Circumeferential</t>
  </si>
  <si>
    <t>Quantification</t>
  </si>
  <si>
    <t>MediaReference</t>
  </si>
  <si>
    <t>Photo</t>
  </si>
  <si>
    <t>Video</t>
  </si>
  <si>
    <t>Inspection</t>
  </si>
  <si>
    <t>Condition</t>
  </si>
  <si>
    <t>(M150-Onto import)</t>
  </si>
  <si>
    <t>Report</t>
  </si>
  <si>
    <t>hasConditionData</t>
  </si>
  <si>
    <t>hasCameraSpecificDataPlaceholder</t>
  </si>
  <si>
    <t>hasCharacterization1</t>
  </si>
  <si>
    <t>hasCharacterization2</t>
  </si>
  <si>
    <t>hasClassificationDate</t>
  </si>
  <si>
    <t>hasClassifier</t>
  </si>
  <si>
    <t>hasConditionClassOperationalSafety</t>
  </si>
  <si>
    <t>hasConditionClassStructuralStability</t>
  </si>
  <si>
    <t>hasConditionClassTightness</t>
  </si>
  <si>
    <t>hasConditionCode</t>
  </si>
  <si>
    <t>hasConnection</t>
  </si>
  <si>
    <t>hasImageName</t>
  </si>
  <si>
    <t>hasLinearDamage</t>
  </si>
  <si>
    <t>hasLongText</t>
  </si>
  <si>
    <t>hasNodeConditionData</t>
  </si>
  <si>
    <t>hasNodeConditionDepth</t>
  </si>
  <si>
    <t>hasNodeConditionLocalizedRepair</t>
  </si>
  <si>
    <t>hasNodeConditionShaftArea</t>
  </si>
  <si>
    <t>hasPipeSectionConditionData</t>
  </si>
  <si>
    <t>hasPipeSectionConditionLining</t>
  </si>
  <si>
    <t>hasPipeSectionConditionLocalizedRepair</t>
  </si>
  <si>
    <t>hasPipeSectionConditionStation</t>
  </si>
  <si>
    <t>hasPositionFrom</t>
  </si>
  <si>
    <t>hasPositionTo</t>
  </si>
  <si>
    <t>hasQuantification1</t>
  </si>
  <si>
    <t>hasQuantification2</t>
  </si>
  <si>
    <t>hasStandardizedComment</t>
  </si>
  <si>
    <t>hasVideoCounterReading</t>
  </si>
  <si>
    <t>Q: How should the ontology be used?</t>
  </si>
  <si>
    <t>Condition Report based on DIN EN 13508-2 (Converted with Python-Parser) is made into an individual</t>
  </si>
  <si>
    <t>Ontology uses this new individual to infer meanings to the data</t>
  </si>
  <si>
    <t>OpenJoint</t>
  </si>
  <si>
    <t>DisplacedJoint</t>
  </si>
  <si>
    <t>FracturedJoint</t>
  </si>
  <si>
    <t>LongitudinalCrack</t>
  </si>
  <si>
    <t>CircumferentialCrack</t>
  </si>
  <si>
    <t>LiningDefect</t>
  </si>
  <si>
    <t>DefectiveRepair</t>
  </si>
  <si>
    <t>PorousPipe</t>
  </si>
  <si>
    <t>VisibleSoil</t>
  </si>
  <si>
    <t>VisibleVoid</t>
  </si>
  <si>
    <t>rdfs:comment: The cross sectional shape of the pipeline has been deformed from its original shape.  The employing authority may specify whether this code is to be used either for flexible pipes only, or for pipes of all materials.</t>
  </si>
  <si>
    <t>asDefinedBy: DIN (applicable to all damage codes)</t>
  </si>
  <si>
    <t>Percentage Change</t>
  </si>
  <si>
    <t>hasDamageOrientation</t>
  </si>
  <si>
    <t>Orientation</t>
  </si>
  <si>
    <t>Circumferential</t>
  </si>
  <si>
    <t>Complex</t>
  </si>
  <si>
    <t>Helical</t>
  </si>
  <si>
    <t>SurfaceCrackFissure</t>
  </si>
  <si>
    <t>CrackFissure</t>
  </si>
  <si>
    <t>FractureFissure</t>
  </si>
  <si>
    <t>Vertical</t>
  </si>
  <si>
    <t>Horizontal</t>
  </si>
  <si>
    <t>hasDamage</t>
  </si>
  <si>
    <t>inspects</t>
  </si>
  <si>
    <t>hasPercentageChange</t>
  </si>
  <si>
    <t>Observation</t>
  </si>
  <si>
    <t>DIN Chapter 8.2</t>
  </si>
  <si>
    <t>PipeDamage</t>
  </si>
  <si>
    <t>NodeDamage</t>
  </si>
  <si>
    <t>NodeFabricDamage</t>
  </si>
  <si>
    <t>Displaced Joint</t>
  </si>
  <si>
    <t>WeldFailure</t>
  </si>
  <si>
    <t>Break</t>
  </si>
  <si>
    <t>Collapse</t>
  </si>
  <si>
    <t>DefectiveBrickwork</t>
  </si>
  <si>
    <t>MissingMortar</t>
  </si>
  <si>
    <t>Defective Brickwork / Masonry</t>
  </si>
  <si>
    <t>Missing Mortar</t>
  </si>
  <si>
    <t>Surface Damage</t>
  </si>
  <si>
    <t>Intruding Connection</t>
  </si>
  <si>
    <t>Defective Connection</t>
  </si>
  <si>
    <t>Intruding Sealing Material</t>
  </si>
  <si>
    <t>BAI</t>
  </si>
  <si>
    <t>Lining Observations</t>
  </si>
  <si>
    <t>Defective Repair</t>
  </si>
  <si>
    <t>Weld Failure</t>
  </si>
  <si>
    <t>Porous Pipe</t>
  </si>
  <si>
    <t>Ingress of Soil</t>
  </si>
  <si>
    <t>Other Obstacles</t>
  </si>
  <si>
    <t>Vermin</t>
  </si>
  <si>
    <t>Node (Manholes and inspection chambers)</t>
  </si>
  <si>
    <t>PipeInventory</t>
  </si>
  <si>
    <t>BCA</t>
  </si>
  <si>
    <t>Connection</t>
  </si>
  <si>
    <t>BCB</t>
  </si>
  <si>
    <t>Point Repair</t>
  </si>
  <si>
    <t>BCC</t>
  </si>
  <si>
    <t>Curvature of Sewer</t>
  </si>
  <si>
    <t>Start Node Type</t>
  </si>
  <si>
    <t>BCD</t>
  </si>
  <si>
    <t>BCE</t>
  </si>
  <si>
    <t>Finish Node</t>
  </si>
  <si>
    <t>PipeOther</t>
  </si>
  <si>
    <t>BDA</t>
  </si>
  <si>
    <t>General Photograph</t>
  </si>
  <si>
    <t>BDB</t>
  </si>
  <si>
    <t>General Remark</t>
  </si>
  <si>
    <t>BDC</t>
  </si>
  <si>
    <t>Inspection terminated before finish node</t>
  </si>
  <si>
    <t>Water level</t>
  </si>
  <si>
    <t>BDD</t>
  </si>
  <si>
    <t>BDE</t>
  </si>
  <si>
    <t>Flow from incoming pipe</t>
  </si>
  <si>
    <t>BDF</t>
  </si>
  <si>
    <t>Atmosphere within the pipeline</t>
  </si>
  <si>
    <t>BDG</t>
  </si>
  <si>
    <t>Loss of vision</t>
  </si>
  <si>
    <t>Implemented?</t>
  </si>
  <si>
    <t>DAA</t>
  </si>
  <si>
    <t>DAN</t>
  </si>
  <si>
    <t>Porous Wall</t>
  </si>
  <si>
    <t>VerticalDeformation</t>
  </si>
  <si>
    <t>HorizontalDeformation</t>
  </si>
  <si>
    <t>domain: Pipe</t>
  </si>
  <si>
    <t>NodeOperationDamage</t>
  </si>
  <si>
    <t>DBA</t>
  </si>
  <si>
    <t>DBB</t>
  </si>
  <si>
    <t>DBC</t>
  </si>
  <si>
    <t>DBD</t>
  </si>
  <si>
    <t>DBE</t>
  </si>
  <si>
    <t>DBF</t>
  </si>
  <si>
    <t>DBG</t>
  </si>
  <si>
    <t>DBH</t>
  </si>
  <si>
    <t>NodeInventory</t>
  </si>
  <si>
    <t>DCA</t>
  </si>
  <si>
    <t>DCB</t>
  </si>
  <si>
    <t>DCG</t>
  </si>
  <si>
    <t>DCH</t>
  </si>
  <si>
    <t>DCI</t>
  </si>
  <si>
    <t>DCJ</t>
  </si>
  <si>
    <t>DCK</t>
  </si>
  <si>
    <t>DCL</t>
  </si>
  <si>
    <t>DCM</t>
  </si>
  <si>
    <t>DCN</t>
  </si>
  <si>
    <t>DCO</t>
  </si>
  <si>
    <t>NodeOther</t>
  </si>
  <si>
    <t>Connection Type</t>
  </si>
  <si>
    <t>Connecting Pipeline</t>
  </si>
  <si>
    <t>Benching</t>
  </si>
  <si>
    <t>Channel</t>
  </si>
  <si>
    <t>Safety Chains/Bars</t>
  </si>
  <si>
    <t>Flow Control</t>
  </si>
  <si>
    <t>Other wastewater pipeline through manhole</t>
  </si>
  <si>
    <t>Grit trap under cover</t>
  </si>
  <si>
    <t>Silt pit in invert</t>
  </si>
  <si>
    <t>Cross section</t>
  </si>
  <si>
    <t>DDA</t>
  </si>
  <si>
    <t>DDB</t>
  </si>
  <si>
    <t>DDC</t>
  </si>
  <si>
    <t>DDD</t>
  </si>
  <si>
    <t>DDE</t>
  </si>
  <si>
    <t>DDF</t>
  </si>
  <si>
    <t>DDG</t>
  </si>
  <si>
    <t>General remark</t>
  </si>
  <si>
    <t>Inspeciton terminated before completion</t>
  </si>
  <si>
    <t>Atmosphere within the chamber</t>
  </si>
  <si>
    <t>FabricDamage</t>
  </si>
  <si>
    <t>GeneralDeformation</t>
  </si>
  <si>
    <t>LocalizedDeformation</t>
  </si>
  <si>
    <t>domain: Node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</si>
</sst>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5"/>
      <color theme="3"/>
      <name val="Aptos Narrow"/>
      <family val="2"/>
      <scheme val="minor"/>
    </font>
    <font>
      <b/>
      <sz val="11"/>
      <color theme="1"/>
      <name val="Aptos Narrow"/>
      <family val="2"/>
      <scheme val="minor"/>
    </font>
    <font>
      <sz val="11"/>
      <color theme="1"/>
      <name val="Aptos Narrow"/>
      <family val="2"/>
      <scheme val="minor"/>
    </font>
    <font>
      <sz val="11"/>
      <color rgb="FF9C5700"/>
      <name val="Aptos Narrow"/>
      <family val="2"/>
      <scheme val="minor"/>
    </font>
    <font>
      <b/>
      <sz val="18"/>
      <color theme="1"/>
      <name val="Aptos Narrow"/>
      <family val="2"/>
      <scheme val="minor"/>
    </font>
    <font>
      <sz val="11"/>
      <color theme="0"/>
      <name val="Aptos Narrow"/>
      <family val="2"/>
      <scheme val="minor"/>
    </font>
  </fonts>
  <fills count="15">
    <fill>
      <patternFill patternType="none"/>
    </fill>
    <fill>
      <patternFill patternType="gray125"/>
    </fill>
    <fill>
      <patternFill patternType="solid">
        <fgColor theme="2" tint="-0.249977111117893"/>
        <bgColor indexed="64"/>
      </patternFill>
    </fill>
    <fill>
      <patternFill patternType="solid">
        <fgColor rgb="FFFFEB9C"/>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4"/>
      </patternFill>
    </fill>
    <fill>
      <patternFill patternType="solid">
        <fgColor theme="5"/>
      </patternFill>
    </fill>
    <fill>
      <patternFill patternType="solid">
        <fgColor theme="9"/>
      </patternFill>
    </fill>
    <fill>
      <patternFill patternType="solid">
        <fgColor theme="4" tint="0.79998168889431442"/>
        <bgColor indexed="65"/>
      </patternFill>
    </fill>
    <fill>
      <patternFill patternType="solid">
        <fgColor theme="4" tint="0.59999389629810485"/>
        <bgColor indexed="65"/>
      </patternFill>
    </fill>
    <fill>
      <patternFill patternType="solid">
        <fgColor theme="8"/>
      </patternFill>
    </fill>
  </fills>
  <borders count="13">
    <border>
      <left/>
      <right/>
      <top/>
      <bottom/>
      <diagonal/>
    </border>
    <border>
      <left/>
      <right/>
      <top/>
      <bottom style="thick">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4">
    <xf numFmtId="0" fontId="0" fillId="0" borderId="0"/>
    <xf numFmtId="0" fontId="1" fillId="0" borderId="1" applyNumberFormat="0" applyFill="0" applyAlignment="0" applyProtection="0"/>
    <xf numFmtId="0" fontId="4"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6" fillId="14" borderId="0" applyNumberFormat="0" applyBorder="0" applyAlignment="0" applyProtection="0"/>
  </cellStyleXfs>
  <cellXfs count="45">
    <xf numFmtId="0" fontId="0" fillId="0" borderId="0" xfId="0"/>
    <xf numFmtId="0" fontId="1" fillId="0" borderId="1" xfId="1"/>
    <xf numFmtId="0" fontId="2" fillId="0" borderId="0" xfId="0" applyFont="1"/>
    <xf numFmtId="0" fontId="0" fillId="2" borderId="0" xfId="0" applyFill="1"/>
    <xf numFmtId="0" fontId="3" fillId="4" borderId="0" xfId="3"/>
    <xf numFmtId="0" fontId="3" fillId="5" borderId="0" xfId="4"/>
    <xf numFmtId="0" fontId="3" fillId="7" borderId="0" xfId="6"/>
    <xf numFmtId="0" fontId="5" fillId="0" borderId="0" xfId="0" applyFont="1"/>
    <xf numFmtId="0" fontId="4" fillId="3" borderId="0" xfId="2"/>
    <xf numFmtId="0" fontId="6" fillId="10" borderId="0" xfId="9"/>
    <xf numFmtId="0" fontId="6" fillId="9" borderId="0" xfId="8"/>
    <xf numFmtId="0" fontId="3" fillId="6" borderId="0" xfId="5"/>
    <xf numFmtId="0" fontId="6" fillId="11" borderId="0" xfId="10"/>
    <xf numFmtId="0" fontId="3" fillId="5" borderId="3" xfId="4" applyBorder="1"/>
    <xf numFmtId="0" fontId="3" fillId="5" borderId="4" xfId="4" applyBorder="1"/>
    <xf numFmtId="0" fontId="3" fillId="5" borderId="0" xfId="4" applyBorder="1"/>
    <xf numFmtId="0" fontId="3" fillId="5" borderId="6" xfId="4" applyBorder="1"/>
    <xf numFmtId="0" fontId="3" fillId="5" borderId="8" xfId="4" applyBorder="1"/>
    <xf numFmtId="0" fontId="3" fillId="5" borderId="9" xfId="4" applyBorder="1"/>
    <xf numFmtId="0" fontId="3" fillId="6" borderId="2" xfId="5" applyBorder="1" applyAlignment="1">
      <alignment horizontal="center" vertical="center"/>
    </xf>
    <xf numFmtId="0" fontId="3" fillId="6" borderId="5" xfId="5" applyBorder="1" applyAlignment="1">
      <alignment horizontal="center" vertical="center"/>
    </xf>
    <xf numFmtId="0" fontId="3" fillId="6" borderId="7" xfId="5" applyBorder="1" applyAlignment="1">
      <alignment horizontal="center" vertical="center"/>
    </xf>
    <xf numFmtId="0" fontId="6" fillId="10" borderId="10" xfId="9" applyBorder="1" applyAlignment="1">
      <alignment horizontal="center" vertical="center"/>
    </xf>
    <xf numFmtId="0" fontId="6" fillId="10" borderId="11" xfId="9" applyBorder="1" applyAlignment="1">
      <alignment horizontal="center" vertical="center"/>
    </xf>
    <xf numFmtId="0" fontId="6" fillId="10" borderId="12" xfId="9" applyBorder="1" applyAlignment="1">
      <alignment horizontal="center" vertical="center"/>
    </xf>
    <xf numFmtId="0" fontId="3" fillId="7" borderId="3" xfId="6" applyBorder="1"/>
    <xf numFmtId="0" fontId="3" fillId="7" borderId="4" xfId="6" applyBorder="1"/>
    <xf numFmtId="0" fontId="3" fillId="7" borderId="0" xfId="6" applyBorder="1"/>
    <xf numFmtId="0" fontId="3" fillId="7" borderId="6" xfId="6" applyBorder="1"/>
    <xf numFmtId="0" fontId="3" fillId="7" borderId="8" xfId="6" applyBorder="1"/>
    <xf numFmtId="0" fontId="3" fillId="7" borderId="9" xfId="6" applyBorder="1"/>
    <xf numFmtId="0" fontId="3" fillId="8" borderId="2" xfId="7" applyBorder="1" applyAlignment="1">
      <alignment horizontal="center" vertical="center"/>
    </xf>
    <xf numFmtId="0" fontId="3" fillId="8" borderId="5" xfId="7" applyBorder="1" applyAlignment="1">
      <alignment horizontal="center" vertical="center"/>
    </xf>
    <xf numFmtId="0" fontId="3" fillId="8" borderId="7" xfId="7" applyBorder="1" applyAlignment="1">
      <alignment horizontal="center" vertical="center"/>
    </xf>
    <xf numFmtId="0" fontId="6" fillId="14" borderId="3" xfId="13" applyBorder="1" applyAlignment="1">
      <alignment horizontal="center" vertical="center" wrapText="1"/>
    </xf>
    <xf numFmtId="0" fontId="6" fillId="14" borderId="0" xfId="13" applyBorder="1" applyAlignment="1">
      <alignment horizontal="center" vertical="center" wrapText="1"/>
    </xf>
    <xf numFmtId="0" fontId="3" fillId="13" borderId="2" xfId="12" applyBorder="1" applyAlignment="1">
      <alignment horizontal="center" vertical="center"/>
    </xf>
    <xf numFmtId="0" fontId="3" fillId="13" borderId="5" xfId="12" applyBorder="1" applyAlignment="1">
      <alignment horizontal="center" vertical="center"/>
    </xf>
    <xf numFmtId="0" fontId="3" fillId="13" borderId="7" xfId="12" applyBorder="1" applyAlignment="1">
      <alignment horizontal="center" vertical="center"/>
    </xf>
    <xf numFmtId="0" fontId="3" fillId="12" borderId="3" xfId="11" applyBorder="1"/>
    <xf numFmtId="0" fontId="3" fillId="12" borderId="4" xfId="11" applyBorder="1"/>
    <xf numFmtId="0" fontId="3" fillId="12" borderId="0" xfId="11" applyBorder="1"/>
    <xf numFmtId="0" fontId="3" fillId="12" borderId="6" xfId="11" applyBorder="1"/>
    <xf numFmtId="0" fontId="3" fillId="12" borderId="8" xfId="11" applyBorder="1"/>
    <xf numFmtId="0" fontId="3" fillId="12" borderId="9" xfId="11" applyBorder="1"/>
  </cellXfs>
  <cellStyles count="14">
    <cellStyle name="20% - Accent1" xfId="11" builtinId="30"/>
    <cellStyle name="20% - Accent2" xfId="3" builtinId="34"/>
    <cellStyle name="40% - Accent1" xfId="12" builtinId="31"/>
    <cellStyle name="40% - Accent2" xfId="4" builtinId="35"/>
    <cellStyle name="40% - Accent5" xfId="6" builtinId="47"/>
    <cellStyle name="60% - Accent2" xfId="5" builtinId="36"/>
    <cellStyle name="60% - Accent5" xfId="7" builtinId="48"/>
    <cellStyle name="Accent1" xfId="8" builtinId="29"/>
    <cellStyle name="Accent2" xfId="9" builtinId="33"/>
    <cellStyle name="Accent5" xfId="13" builtinId="45"/>
    <cellStyle name="Accent6" xfId="10" builtinId="49"/>
    <cellStyle name="Heading 1" xfId="1" builtinId="16"/>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29</xdr:col>
      <xdr:colOff>76200</xdr:colOff>
      <xdr:row>3</xdr:row>
      <xdr:rowOff>76200</xdr:rowOff>
    </xdr:from>
    <xdr:to>
      <xdr:col>41</xdr:col>
      <xdr:colOff>1010</xdr:colOff>
      <xdr:row>63</xdr:row>
      <xdr:rowOff>77806</xdr:rowOff>
    </xdr:to>
    <xdr:pic>
      <xdr:nvPicPr>
        <xdr:cNvPr id="2" name="Picture 1">
          <a:extLst>
            <a:ext uri="{FF2B5EF4-FFF2-40B4-BE49-F238E27FC236}">
              <a16:creationId xmlns:a16="http://schemas.microsoft.com/office/drawing/2014/main" id="{11D85110-FE66-6730-B6D7-5912466E8BB7}"/>
            </a:ext>
          </a:extLst>
        </xdr:cNvPr>
        <xdr:cNvPicPr>
          <a:picLocks noChangeAspect="1"/>
        </xdr:cNvPicPr>
      </xdr:nvPicPr>
      <xdr:blipFill>
        <a:blip xmlns:r="http://schemas.openxmlformats.org/officeDocument/2006/relationships" r:embed="rId1"/>
        <a:stretch>
          <a:fillRect/>
        </a:stretch>
      </xdr:blipFill>
      <xdr:spPr>
        <a:xfrm>
          <a:off x="17211675" y="723900"/>
          <a:ext cx="7240010" cy="1150780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14</xdr:col>
      <xdr:colOff>419100</xdr:colOff>
      <xdr:row>14</xdr:row>
      <xdr:rowOff>85725</xdr:rowOff>
    </xdr:from>
    <xdr:to>
      <xdr:col>20</xdr:col>
      <xdr:colOff>287889</xdr:colOff>
      <xdr:row>27</xdr:row>
      <xdr:rowOff>76200</xdr:rowOff>
    </xdr:to>
    <xdr:pic>
      <xdr:nvPicPr>
        <xdr:cNvPr id="3" name="Picture 2">
          <a:extLst>
            <a:ext uri="{FF2B5EF4-FFF2-40B4-BE49-F238E27FC236}">
              <a16:creationId xmlns:a16="http://schemas.microsoft.com/office/drawing/2014/main" id="{2012723E-B99F-A962-C29D-687F98107484}"/>
            </a:ext>
          </a:extLst>
        </xdr:cNvPr>
        <xdr:cNvPicPr>
          <a:picLocks noChangeAspect="1"/>
        </xdr:cNvPicPr>
      </xdr:nvPicPr>
      <xdr:blipFill>
        <a:blip xmlns:r="http://schemas.openxmlformats.org/officeDocument/2006/relationships" r:embed="rId2"/>
        <a:stretch>
          <a:fillRect/>
        </a:stretch>
      </xdr:blipFill>
      <xdr:spPr>
        <a:xfrm>
          <a:off x="8953500" y="2828925"/>
          <a:ext cx="3526389" cy="254317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2</xdr:col>
      <xdr:colOff>314325</xdr:colOff>
      <xdr:row>80</xdr:row>
      <xdr:rowOff>1</xdr:rowOff>
    </xdr:from>
    <xdr:to>
      <xdr:col>8</xdr:col>
      <xdr:colOff>136670</xdr:colOff>
      <xdr:row>94</xdr:row>
      <xdr:rowOff>152401</xdr:rowOff>
    </xdr:to>
    <xdr:pic>
      <xdr:nvPicPr>
        <xdr:cNvPr id="4" name="Picture 3">
          <a:extLst>
            <a:ext uri="{FF2B5EF4-FFF2-40B4-BE49-F238E27FC236}">
              <a16:creationId xmlns:a16="http://schemas.microsoft.com/office/drawing/2014/main" id="{5AF3B86D-22B5-8EAF-4983-D1FCE0D8ECDA}"/>
            </a:ext>
          </a:extLst>
        </xdr:cNvPr>
        <xdr:cNvPicPr>
          <a:picLocks noChangeAspect="1"/>
        </xdr:cNvPicPr>
      </xdr:nvPicPr>
      <xdr:blipFill>
        <a:blip xmlns:r="http://schemas.openxmlformats.org/officeDocument/2006/relationships" r:embed="rId3"/>
        <a:stretch>
          <a:fillRect/>
        </a:stretch>
      </xdr:blipFill>
      <xdr:spPr>
        <a:xfrm>
          <a:off x="1533525" y="10248901"/>
          <a:ext cx="3479945" cy="281940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2</xdr:col>
      <xdr:colOff>447675</xdr:colOff>
      <xdr:row>26</xdr:row>
      <xdr:rowOff>142875</xdr:rowOff>
    </xdr:from>
    <xdr:to>
      <xdr:col>7</xdr:col>
      <xdr:colOff>18483</xdr:colOff>
      <xdr:row>35</xdr:row>
      <xdr:rowOff>104775</xdr:rowOff>
    </xdr:to>
    <xdr:pic>
      <xdr:nvPicPr>
        <xdr:cNvPr id="5" name="Picture 4">
          <a:extLst>
            <a:ext uri="{FF2B5EF4-FFF2-40B4-BE49-F238E27FC236}">
              <a16:creationId xmlns:a16="http://schemas.microsoft.com/office/drawing/2014/main" id="{93BFFC92-F4E8-98FA-AF87-437A6EFB3C8F}"/>
            </a:ext>
          </a:extLst>
        </xdr:cNvPr>
        <xdr:cNvPicPr>
          <a:picLocks noChangeAspect="1"/>
        </xdr:cNvPicPr>
      </xdr:nvPicPr>
      <xdr:blipFill>
        <a:blip xmlns:r="http://schemas.openxmlformats.org/officeDocument/2006/relationships" r:embed="rId4"/>
        <a:stretch>
          <a:fillRect/>
        </a:stretch>
      </xdr:blipFill>
      <xdr:spPr>
        <a:xfrm>
          <a:off x="1666875" y="5248275"/>
          <a:ext cx="2618808" cy="167640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1</xdr:col>
      <xdr:colOff>333375</xdr:colOff>
      <xdr:row>20</xdr:row>
      <xdr:rowOff>214313</xdr:rowOff>
    </xdr:from>
    <xdr:to>
      <xdr:col>14</xdr:col>
      <xdr:colOff>419100</xdr:colOff>
      <xdr:row>21</xdr:row>
      <xdr:rowOff>0</xdr:rowOff>
    </xdr:to>
    <xdr:cxnSp macro="">
      <xdr:nvCxnSpPr>
        <xdr:cNvPr id="7" name="Straight Arrow Connector 6">
          <a:extLst>
            <a:ext uri="{FF2B5EF4-FFF2-40B4-BE49-F238E27FC236}">
              <a16:creationId xmlns:a16="http://schemas.microsoft.com/office/drawing/2014/main" id="{115E1DC8-A3FE-E40C-668E-9ECB32F1125B}"/>
            </a:ext>
          </a:extLst>
        </xdr:cNvPr>
        <xdr:cNvCxnSpPr>
          <a:endCxn id="3" idx="1"/>
        </xdr:cNvCxnSpPr>
      </xdr:nvCxnSpPr>
      <xdr:spPr>
        <a:xfrm flipV="1">
          <a:off x="942975" y="4100513"/>
          <a:ext cx="8010525" cy="4286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3</xdr:col>
      <xdr:colOff>438150</xdr:colOff>
      <xdr:row>48</xdr:row>
      <xdr:rowOff>28575</xdr:rowOff>
    </xdr:from>
    <xdr:to>
      <xdr:col>13</xdr:col>
      <xdr:colOff>200025</xdr:colOff>
      <xdr:row>58</xdr:row>
      <xdr:rowOff>106540</xdr:rowOff>
    </xdr:to>
    <xdr:pic>
      <xdr:nvPicPr>
        <xdr:cNvPr id="10" name="Picture 9">
          <a:extLst>
            <a:ext uri="{FF2B5EF4-FFF2-40B4-BE49-F238E27FC236}">
              <a16:creationId xmlns:a16="http://schemas.microsoft.com/office/drawing/2014/main" id="{7B28B046-5F9C-F384-CB7C-3CF4F9DC32AE}"/>
            </a:ext>
          </a:extLst>
        </xdr:cNvPr>
        <xdr:cNvPicPr>
          <a:picLocks noChangeAspect="1"/>
        </xdr:cNvPicPr>
      </xdr:nvPicPr>
      <xdr:blipFill>
        <a:blip xmlns:r="http://schemas.openxmlformats.org/officeDocument/2006/relationships" r:embed="rId5"/>
        <a:stretch>
          <a:fillRect/>
        </a:stretch>
      </xdr:blipFill>
      <xdr:spPr>
        <a:xfrm>
          <a:off x="2266950" y="9324975"/>
          <a:ext cx="5857875" cy="198296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3</xdr:col>
      <xdr:colOff>457201</xdr:colOff>
      <xdr:row>62</xdr:row>
      <xdr:rowOff>171451</xdr:rowOff>
    </xdr:from>
    <xdr:to>
      <xdr:col>13</xdr:col>
      <xdr:colOff>171451</xdr:colOff>
      <xdr:row>73</xdr:row>
      <xdr:rowOff>74465</xdr:rowOff>
    </xdr:to>
    <xdr:pic>
      <xdr:nvPicPr>
        <xdr:cNvPr id="11" name="Picture 10">
          <a:extLst>
            <a:ext uri="{FF2B5EF4-FFF2-40B4-BE49-F238E27FC236}">
              <a16:creationId xmlns:a16="http://schemas.microsoft.com/office/drawing/2014/main" id="{0C541E3A-8A1F-14BC-3F7A-99107FD0E1E4}"/>
            </a:ext>
          </a:extLst>
        </xdr:cNvPr>
        <xdr:cNvPicPr>
          <a:picLocks noChangeAspect="1"/>
        </xdr:cNvPicPr>
      </xdr:nvPicPr>
      <xdr:blipFill>
        <a:blip xmlns:r="http://schemas.openxmlformats.org/officeDocument/2006/relationships" r:embed="rId6"/>
        <a:stretch>
          <a:fillRect/>
        </a:stretch>
      </xdr:blipFill>
      <xdr:spPr>
        <a:xfrm>
          <a:off x="2286001" y="12134851"/>
          <a:ext cx="5810250" cy="199851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447675</xdr:colOff>
      <xdr:row>0</xdr:row>
      <xdr:rowOff>123825</xdr:rowOff>
    </xdr:from>
    <xdr:to>
      <xdr:col>13</xdr:col>
      <xdr:colOff>219075</xdr:colOff>
      <xdr:row>4</xdr:row>
      <xdr:rowOff>95250</xdr:rowOff>
    </xdr:to>
    <xdr:cxnSp macro="">
      <xdr:nvCxnSpPr>
        <xdr:cNvPr id="3" name="Straight Arrow Connector 2">
          <a:extLst>
            <a:ext uri="{FF2B5EF4-FFF2-40B4-BE49-F238E27FC236}">
              <a16:creationId xmlns:a16="http://schemas.microsoft.com/office/drawing/2014/main" id="{ED72FF26-149E-D5C6-9C5C-738607592A40}"/>
            </a:ext>
          </a:extLst>
        </xdr:cNvPr>
        <xdr:cNvCxnSpPr/>
      </xdr:nvCxnSpPr>
      <xdr:spPr>
        <a:xfrm flipH="1">
          <a:off x="6619875" y="123825"/>
          <a:ext cx="990600" cy="7334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352425</xdr:colOff>
      <xdr:row>4</xdr:row>
      <xdr:rowOff>123825</xdr:rowOff>
    </xdr:from>
    <xdr:to>
      <xdr:col>13</xdr:col>
      <xdr:colOff>304800</xdr:colOff>
      <xdr:row>12</xdr:row>
      <xdr:rowOff>76200</xdr:rowOff>
    </xdr:to>
    <xdr:cxnSp macro="">
      <xdr:nvCxnSpPr>
        <xdr:cNvPr id="13" name="Straight Arrow Connector 12">
          <a:extLst>
            <a:ext uri="{FF2B5EF4-FFF2-40B4-BE49-F238E27FC236}">
              <a16:creationId xmlns:a16="http://schemas.microsoft.com/office/drawing/2014/main" id="{EFAFC863-3D0B-4EEA-AF02-4B2BD58A2DD2}"/>
            </a:ext>
          </a:extLst>
        </xdr:cNvPr>
        <xdr:cNvCxnSpPr/>
      </xdr:nvCxnSpPr>
      <xdr:spPr>
        <a:xfrm flipH="1">
          <a:off x="6524625" y="885825"/>
          <a:ext cx="2028825" cy="14763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A7991-F3C0-48B9-8196-BBADA0B9DEFF}">
  <dimension ref="B2:AD79"/>
  <sheetViews>
    <sheetView topLeftCell="A9" workbookViewId="0">
      <selection activeCell="C6" sqref="C6"/>
    </sheetView>
  </sheetViews>
  <sheetFormatPr defaultRowHeight="15" x14ac:dyDescent="0.25"/>
  <cols>
    <col min="27" max="27" width="9.140625" customWidth="1"/>
    <col min="28" max="28" width="1" style="3" customWidth="1"/>
  </cols>
  <sheetData>
    <row r="2" spans="2:30" ht="20.25" thickBot="1" x14ac:dyDescent="0.35">
      <c r="B2" s="1" t="s">
        <v>18</v>
      </c>
      <c r="AD2" s="1" t="s">
        <v>22</v>
      </c>
    </row>
    <row r="3" spans="2:30" ht="15.75" thickTop="1" x14ac:dyDescent="0.25"/>
    <row r="4" spans="2:30" x14ac:dyDescent="0.25">
      <c r="B4" s="2" t="s">
        <v>19</v>
      </c>
    </row>
    <row r="6" spans="2:30" x14ac:dyDescent="0.25">
      <c r="C6" t="s">
        <v>20</v>
      </c>
    </row>
    <row r="7" spans="2:30" x14ac:dyDescent="0.25">
      <c r="C7" t="s">
        <v>21</v>
      </c>
    </row>
    <row r="21" spans="2:4" ht="20.25" thickBot="1" x14ac:dyDescent="0.35">
      <c r="B21" s="1" t="s">
        <v>3</v>
      </c>
    </row>
    <row r="22" spans="2:4" ht="15.75" thickTop="1" x14ac:dyDescent="0.25"/>
    <row r="23" spans="2:4" x14ac:dyDescent="0.25">
      <c r="B23" s="2" t="s">
        <v>5</v>
      </c>
      <c r="C23" t="s">
        <v>6</v>
      </c>
    </row>
    <row r="25" spans="2:4" x14ac:dyDescent="0.25">
      <c r="B25" s="2" t="s">
        <v>0</v>
      </c>
      <c r="C25" t="s">
        <v>7</v>
      </c>
    </row>
    <row r="26" spans="2:4" x14ac:dyDescent="0.25">
      <c r="C26" s="2" t="s">
        <v>9</v>
      </c>
      <c r="D26" t="s">
        <v>12</v>
      </c>
    </row>
    <row r="28" spans="2:4" x14ac:dyDescent="0.25">
      <c r="C28" s="2"/>
    </row>
    <row r="29" spans="2:4" x14ac:dyDescent="0.25">
      <c r="C29" s="2"/>
    </row>
    <row r="30" spans="2:4" x14ac:dyDescent="0.25">
      <c r="C30" s="2"/>
    </row>
    <row r="31" spans="2:4" x14ac:dyDescent="0.25">
      <c r="C31" s="2"/>
    </row>
    <row r="32" spans="2:4" x14ac:dyDescent="0.25">
      <c r="C32" s="2"/>
    </row>
    <row r="33" spans="2:5" x14ac:dyDescent="0.25">
      <c r="C33" s="2"/>
    </row>
    <row r="34" spans="2:5" x14ac:dyDescent="0.25">
      <c r="C34" s="2"/>
    </row>
    <row r="35" spans="2:5" x14ac:dyDescent="0.25">
      <c r="C35" s="2"/>
    </row>
    <row r="36" spans="2:5" x14ac:dyDescent="0.25">
      <c r="C36" s="2"/>
    </row>
    <row r="37" spans="2:5" x14ac:dyDescent="0.25">
      <c r="C37" s="2"/>
    </row>
    <row r="38" spans="2:5" x14ac:dyDescent="0.25">
      <c r="C38" s="2" t="s">
        <v>10</v>
      </c>
      <c r="D38" t="s">
        <v>11</v>
      </c>
    </row>
    <row r="40" spans="2:5" x14ac:dyDescent="0.25">
      <c r="C40" s="2"/>
    </row>
    <row r="41" spans="2:5" x14ac:dyDescent="0.25">
      <c r="C41" s="2"/>
    </row>
    <row r="42" spans="2:5" x14ac:dyDescent="0.25">
      <c r="C42" s="2"/>
    </row>
    <row r="43" spans="2:5" x14ac:dyDescent="0.25">
      <c r="C43" s="2"/>
    </row>
    <row r="44" spans="2:5" x14ac:dyDescent="0.25">
      <c r="B44" s="2" t="s">
        <v>1</v>
      </c>
      <c r="C44" t="s">
        <v>4</v>
      </c>
    </row>
    <row r="45" spans="2:5" x14ac:dyDescent="0.25">
      <c r="C45" s="2" t="s">
        <v>13</v>
      </c>
    </row>
    <row r="46" spans="2:5" x14ac:dyDescent="0.25">
      <c r="C46" s="2"/>
    </row>
    <row r="47" spans="2:5" x14ac:dyDescent="0.25">
      <c r="C47" s="2"/>
      <c r="D47" s="2" t="s">
        <v>14</v>
      </c>
      <c r="E47" t="s">
        <v>16</v>
      </c>
    </row>
    <row r="48" spans="2:5" x14ac:dyDescent="0.25">
      <c r="C48" s="2"/>
    </row>
    <row r="49" spans="3:5" x14ac:dyDescent="0.25">
      <c r="C49" s="2"/>
    </row>
    <row r="50" spans="3:5" x14ac:dyDescent="0.25">
      <c r="C50" s="2"/>
    </row>
    <row r="51" spans="3:5" x14ac:dyDescent="0.25">
      <c r="C51" s="2"/>
    </row>
    <row r="52" spans="3:5" x14ac:dyDescent="0.25">
      <c r="C52" s="2"/>
    </row>
    <row r="53" spans="3:5" x14ac:dyDescent="0.25">
      <c r="C53" s="2"/>
    </row>
    <row r="54" spans="3:5" x14ac:dyDescent="0.25">
      <c r="C54" s="2"/>
    </row>
    <row r="55" spans="3:5" x14ac:dyDescent="0.25">
      <c r="C55" s="2"/>
    </row>
    <row r="56" spans="3:5" x14ac:dyDescent="0.25">
      <c r="C56" s="2"/>
    </row>
    <row r="57" spans="3:5" x14ac:dyDescent="0.25">
      <c r="C57" s="2"/>
    </row>
    <row r="58" spans="3:5" x14ac:dyDescent="0.25">
      <c r="C58" s="2"/>
    </row>
    <row r="59" spans="3:5" x14ac:dyDescent="0.25">
      <c r="C59" s="2"/>
    </row>
    <row r="60" spans="3:5" x14ac:dyDescent="0.25">
      <c r="C60" s="2"/>
    </row>
    <row r="61" spans="3:5" x14ac:dyDescent="0.25">
      <c r="C61" s="2"/>
    </row>
    <row r="62" spans="3:5" x14ac:dyDescent="0.25">
      <c r="C62" s="2"/>
      <c r="D62" s="2" t="s">
        <v>15</v>
      </c>
      <c r="E62" t="s">
        <v>17</v>
      </c>
    </row>
    <row r="63" spans="3:5" x14ac:dyDescent="0.25">
      <c r="C63" s="2"/>
    </row>
    <row r="64" spans="3:5" x14ac:dyDescent="0.25">
      <c r="C64" s="2"/>
    </row>
    <row r="65" spans="2:3" x14ac:dyDescent="0.25">
      <c r="C65" s="2"/>
    </row>
    <row r="66" spans="2:3" x14ac:dyDescent="0.25">
      <c r="C66" s="2"/>
    </row>
    <row r="67" spans="2:3" x14ac:dyDescent="0.25">
      <c r="C67" s="2"/>
    </row>
    <row r="68" spans="2:3" x14ac:dyDescent="0.25">
      <c r="C68" s="2"/>
    </row>
    <row r="79" spans="2:3" x14ac:dyDescent="0.25">
      <c r="B79" s="2" t="s">
        <v>2</v>
      </c>
      <c r="C79" t="s">
        <v>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2C7DE-848F-408E-87F5-38D09E7CE791}">
  <dimension ref="A1:H85"/>
  <sheetViews>
    <sheetView topLeftCell="A39" workbookViewId="0">
      <selection activeCell="D23" sqref="D23"/>
    </sheetView>
  </sheetViews>
  <sheetFormatPr defaultRowHeight="15" x14ac:dyDescent="0.25"/>
  <cols>
    <col min="1" max="1" width="33.28515625" bestFit="1" customWidth="1"/>
    <col min="2" max="2" width="23.140625" bestFit="1" customWidth="1"/>
    <col min="4" max="4" width="46.28515625" bestFit="1" customWidth="1"/>
  </cols>
  <sheetData>
    <row r="1" spans="1:6" ht="24.75" thickBot="1" x14ac:dyDescent="0.45">
      <c r="A1" s="7" t="s">
        <v>31</v>
      </c>
      <c r="B1" s="7" t="s">
        <v>32</v>
      </c>
      <c r="C1" s="7" t="s">
        <v>33</v>
      </c>
      <c r="D1" s="7" t="s">
        <v>34</v>
      </c>
      <c r="E1" s="7" t="s">
        <v>233</v>
      </c>
    </row>
    <row r="2" spans="1:6" x14ac:dyDescent="0.25">
      <c r="A2" s="22" t="s">
        <v>27</v>
      </c>
      <c r="B2" s="19" t="s">
        <v>111</v>
      </c>
      <c r="C2" s="13" t="s">
        <v>35</v>
      </c>
      <c r="D2" s="14" t="s">
        <v>36</v>
      </c>
      <c r="E2" s="6" t="s">
        <v>234</v>
      </c>
      <c r="F2" s="6" t="s">
        <v>36</v>
      </c>
    </row>
    <row r="3" spans="1:6" x14ac:dyDescent="0.25">
      <c r="A3" s="23"/>
      <c r="B3" s="20"/>
      <c r="C3" s="15" t="s">
        <v>37</v>
      </c>
      <c r="D3" s="16" t="s">
        <v>38</v>
      </c>
      <c r="E3" s="6" t="s">
        <v>75</v>
      </c>
      <c r="F3" s="6" t="s">
        <v>38</v>
      </c>
    </row>
    <row r="4" spans="1:6" x14ac:dyDescent="0.25">
      <c r="A4" s="23"/>
      <c r="B4" s="20"/>
      <c r="C4" s="15" t="s">
        <v>39</v>
      </c>
      <c r="D4" s="16" t="s">
        <v>40</v>
      </c>
      <c r="E4" s="6" t="s">
        <v>76</v>
      </c>
      <c r="F4" s="6" t="s">
        <v>40</v>
      </c>
    </row>
    <row r="5" spans="1:6" x14ac:dyDescent="0.25">
      <c r="A5" s="23"/>
      <c r="B5" s="20"/>
      <c r="C5" s="15" t="s">
        <v>41</v>
      </c>
      <c r="D5" s="16" t="s">
        <v>192</v>
      </c>
      <c r="E5" s="6" t="s">
        <v>77</v>
      </c>
      <c r="F5" s="6" t="s">
        <v>192</v>
      </c>
    </row>
    <row r="6" spans="1:6" x14ac:dyDescent="0.25">
      <c r="A6" s="23"/>
      <c r="B6" s="20"/>
      <c r="C6" s="15" t="s">
        <v>42</v>
      </c>
      <c r="D6" s="16" t="s">
        <v>193</v>
      </c>
      <c r="E6" s="6" t="s">
        <v>79</v>
      </c>
      <c r="F6" s="6" t="s">
        <v>193</v>
      </c>
    </row>
    <row r="7" spans="1:6" x14ac:dyDescent="0.25">
      <c r="A7" s="23"/>
      <c r="B7" s="20"/>
      <c r="C7" s="15" t="s">
        <v>44</v>
      </c>
      <c r="D7" s="16" t="s">
        <v>194</v>
      </c>
      <c r="E7" s="6" t="s">
        <v>81</v>
      </c>
      <c r="F7" s="6" t="s">
        <v>194</v>
      </c>
    </row>
    <row r="8" spans="1:6" x14ac:dyDescent="0.25">
      <c r="A8" s="23"/>
      <c r="B8" s="20"/>
      <c r="C8" s="15" t="s">
        <v>45</v>
      </c>
      <c r="D8" s="16" t="s">
        <v>195</v>
      </c>
      <c r="E8" s="6" t="s">
        <v>83</v>
      </c>
      <c r="F8" s="6" t="s">
        <v>195</v>
      </c>
    </row>
    <row r="9" spans="1:6" x14ac:dyDescent="0.25">
      <c r="A9" s="23"/>
      <c r="B9" s="20"/>
      <c r="C9" s="15" t="s">
        <v>46</v>
      </c>
      <c r="D9" s="16" t="s">
        <v>196</v>
      </c>
      <c r="E9" s="6" t="s">
        <v>85</v>
      </c>
      <c r="F9" s="6" t="s">
        <v>196</v>
      </c>
    </row>
    <row r="10" spans="1:6" x14ac:dyDescent="0.25">
      <c r="A10" s="23"/>
      <c r="B10" s="20"/>
      <c r="C10" s="15" t="s">
        <v>198</v>
      </c>
      <c r="D10" s="16" t="s">
        <v>197</v>
      </c>
      <c r="E10" s="6" t="s">
        <v>87</v>
      </c>
      <c r="F10" s="6" t="s">
        <v>88</v>
      </c>
    </row>
    <row r="11" spans="1:6" x14ac:dyDescent="0.25">
      <c r="A11" s="23"/>
      <c r="B11" s="20"/>
      <c r="C11" s="15" t="s">
        <v>47</v>
      </c>
      <c r="D11" s="16" t="s">
        <v>186</v>
      </c>
      <c r="E11" s="6" t="s">
        <v>89</v>
      </c>
      <c r="F11" s="6" t="s">
        <v>43</v>
      </c>
    </row>
    <row r="12" spans="1:6" x14ac:dyDescent="0.25">
      <c r="A12" s="23"/>
      <c r="B12" s="20"/>
      <c r="C12" s="15" t="s">
        <v>49</v>
      </c>
      <c r="D12" s="16" t="s">
        <v>199</v>
      </c>
      <c r="E12" s="6" t="s">
        <v>90</v>
      </c>
      <c r="F12" s="6" t="s">
        <v>199</v>
      </c>
    </row>
    <row r="13" spans="1:6" x14ac:dyDescent="0.25">
      <c r="A13" s="23"/>
      <c r="B13" s="20"/>
      <c r="C13" s="15" t="s">
        <v>50</v>
      </c>
      <c r="D13" s="16" t="s">
        <v>200</v>
      </c>
      <c r="E13" s="6" t="s">
        <v>92</v>
      </c>
      <c r="F13" s="6" t="s">
        <v>51</v>
      </c>
    </row>
    <row r="14" spans="1:6" x14ac:dyDescent="0.25">
      <c r="A14" s="23"/>
      <c r="B14" s="20"/>
      <c r="C14" s="15" t="s">
        <v>52</v>
      </c>
      <c r="D14" s="16" t="s">
        <v>201</v>
      </c>
      <c r="E14" s="6" t="s">
        <v>93</v>
      </c>
      <c r="F14" s="6" t="s">
        <v>201</v>
      </c>
    </row>
    <row r="15" spans="1:6" x14ac:dyDescent="0.25">
      <c r="A15" s="23"/>
      <c r="B15" s="20"/>
      <c r="C15" s="15" t="s">
        <v>53</v>
      </c>
      <c r="D15" s="16" t="s">
        <v>202</v>
      </c>
      <c r="E15" s="6" t="s">
        <v>235</v>
      </c>
      <c r="F15" s="6" t="s">
        <v>236</v>
      </c>
    </row>
    <row r="16" spans="1:6" x14ac:dyDescent="0.25">
      <c r="A16" s="23"/>
      <c r="B16" s="20"/>
      <c r="C16" s="15" t="s">
        <v>54</v>
      </c>
      <c r="D16" s="16" t="s">
        <v>55</v>
      </c>
      <c r="E16" s="6" t="s">
        <v>95</v>
      </c>
      <c r="F16" s="6" t="s">
        <v>55</v>
      </c>
    </row>
    <row r="17" spans="1:8" ht="15.75" thickBot="1" x14ac:dyDescent="0.3">
      <c r="A17" s="23"/>
      <c r="B17" s="21"/>
      <c r="C17" s="17" t="s">
        <v>56</v>
      </c>
      <c r="D17" s="18" t="s">
        <v>57</v>
      </c>
      <c r="E17" s="6" t="s">
        <v>96</v>
      </c>
      <c r="F17" s="6" t="s">
        <v>57</v>
      </c>
      <c r="H17" s="2" t="str">
        <f>COUNTA(D2:D17)&amp;" codes describing damage to fabric of the pipeline"</f>
        <v>16 codes describing damage to fabric of the pipeline</v>
      </c>
    </row>
    <row r="18" spans="1:8" x14ac:dyDescent="0.25">
      <c r="A18" s="23"/>
      <c r="B18" s="19" t="s">
        <v>112</v>
      </c>
      <c r="C18" s="13" t="s">
        <v>58</v>
      </c>
      <c r="D18" s="14" t="s">
        <v>59</v>
      </c>
      <c r="E18" s="6" t="s">
        <v>97</v>
      </c>
      <c r="F18" s="6" t="s">
        <v>98</v>
      </c>
      <c r="H18" s="2"/>
    </row>
    <row r="19" spans="1:8" x14ac:dyDescent="0.25">
      <c r="A19" s="23"/>
      <c r="B19" s="20"/>
      <c r="C19" s="15" t="s">
        <v>60</v>
      </c>
      <c r="D19" s="16" t="s">
        <v>61</v>
      </c>
      <c r="E19" s="6" t="s">
        <v>99</v>
      </c>
      <c r="F19" s="6" t="s">
        <v>100</v>
      </c>
      <c r="H19" s="2"/>
    </row>
    <row r="20" spans="1:8" x14ac:dyDescent="0.25">
      <c r="A20" s="23"/>
      <c r="B20" s="20"/>
      <c r="C20" s="15" t="s">
        <v>62</v>
      </c>
      <c r="D20" s="16" t="s">
        <v>63</v>
      </c>
      <c r="H20" s="2"/>
    </row>
    <row r="21" spans="1:8" x14ac:dyDescent="0.25">
      <c r="A21" s="23"/>
      <c r="B21" s="20"/>
      <c r="C21" s="15" t="s">
        <v>64</v>
      </c>
      <c r="D21" s="16" t="s">
        <v>203</v>
      </c>
      <c r="H21" s="2"/>
    </row>
    <row r="22" spans="1:8" x14ac:dyDescent="0.25">
      <c r="A22" s="23"/>
      <c r="B22" s="20"/>
      <c r="C22" s="15" t="s">
        <v>66</v>
      </c>
      <c r="D22" s="16" t="s">
        <v>204</v>
      </c>
      <c r="H22" s="2"/>
    </row>
    <row r="23" spans="1:8" x14ac:dyDescent="0.25">
      <c r="A23" s="23"/>
      <c r="B23" s="20"/>
      <c r="C23" s="15" t="s">
        <v>68</v>
      </c>
      <c r="D23" s="16" t="s">
        <v>71</v>
      </c>
      <c r="H23" s="2"/>
    </row>
    <row r="24" spans="1:8" x14ac:dyDescent="0.25">
      <c r="A24" s="23"/>
      <c r="B24" s="20"/>
      <c r="C24" s="15" t="s">
        <v>70</v>
      </c>
      <c r="D24" s="16" t="s">
        <v>73</v>
      </c>
      <c r="H24" s="2"/>
    </row>
    <row r="25" spans="1:8" ht="15.75" thickBot="1" x14ac:dyDescent="0.3">
      <c r="A25" s="23"/>
      <c r="B25" s="21"/>
      <c r="C25" s="17" t="s">
        <v>72</v>
      </c>
      <c r="D25" s="18" t="s">
        <v>205</v>
      </c>
      <c r="H25" s="2" t="str">
        <f>COUNTA(D18:D25)&amp;" codes describing damage to operation of the pipeline"</f>
        <v>8 codes describing damage to operation of the pipeline</v>
      </c>
    </row>
    <row r="26" spans="1:8" x14ac:dyDescent="0.25">
      <c r="A26" s="23"/>
      <c r="B26" s="36" t="s">
        <v>207</v>
      </c>
      <c r="C26" s="39" t="s">
        <v>208</v>
      </c>
      <c r="D26" s="40" t="s">
        <v>209</v>
      </c>
      <c r="H26" s="2"/>
    </row>
    <row r="27" spans="1:8" x14ac:dyDescent="0.25">
      <c r="A27" s="23"/>
      <c r="B27" s="37"/>
      <c r="C27" s="41" t="s">
        <v>210</v>
      </c>
      <c r="D27" s="42" t="s">
        <v>211</v>
      </c>
      <c r="H27" s="2"/>
    </row>
    <row r="28" spans="1:8" x14ac:dyDescent="0.25">
      <c r="A28" s="23"/>
      <c r="B28" s="37"/>
      <c r="C28" s="41" t="s">
        <v>212</v>
      </c>
      <c r="D28" s="42" t="s">
        <v>213</v>
      </c>
      <c r="H28" s="2"/>
    </row>
    <row r="29" spans="1:8" x14ac:dyDescent="0.25">
      <c r="A29" s="23"/>
      <c r="B29" s="37"/>
      <c r="C29" s="41" t="s">
        <v>215</v>
      </c>
      <c r="D29" s="42" t="s">
        <v>214</v>
      </c>
      <c r="H29" s="2"/>
    </row>
    <row r="30" spans="1:8" ht="15.75" thickBot="1" x14ac:dyDescent="0.3">
      <c r="A30" s="23"/>
      <c r="B30" s="38"/>
      <c r="C30" s="43" t="s">
        <v>216</v>
      </c>
      <c r="D30" s="44" t="s">
        <v>217</v>
      </c>
      <c r="H30" s="2" t="str">
        <f>COUNTA(D26:D30)&amp;" codes describing pipe inventory codes"</f>
        <v>5 codes describing pipe inventory codes</v>
      </c>
    </row>
    <row r="31" spans="1:8" x14ac:dyDescent="0.25">
      <c r="A31" s="23"/>
      <c r="B31" s="36" t="s">
        <v>218</v>
      </c>
      <c r="C31" s="39" t="s">
        <v>219</v>
      </c>
      <c r="D31" s="40" t="s">
        <v>220</v>
      </c>
      <c r="H31" s="2"/>
    </row>
    <row r="32" spans="1:8" x14ac:dyDescent="0.25">
      <c r="A32" s="23"/>
      <c r="B32" s="37"/>
      <c r="C32" s="41" t="s">
        <v>221</v>
      </c>
      <c r="D32" s="42" t="s">
        <v>222</v>
      </c>
      <c r="H32" s="2"/>
    </row>
    <row r="33" spans="1:8" x14ac:dyDescent="0.25">
      <c r="A33" s="23"/>
      <c r="B33" s="37"/>
      <c r="C33" s="41" t="s">
        <v>223</v>
      </c>
      <c r="D33" s="42" t="s">
        <v>224</v>
      </c>
      <c r="H33" s="2"/>
    </row>
    <row r="34" spans="1:8" x14ac:dyDescent="0.25">
      <c r="A34" s="23"/>
      <c r="B34" s="37"/>
      <c r="C34" s="41" t="s">
        <v>226</v>
      </c>
      <c r="D34" s="42" t="s">
        <v>225</v>
      </c>
      <c r="H34" s="2"/>
    </row>
    <row r="35" spans="1:8" x14ac:dyDescent="0.25">
      <c r="A35" s="23"/>
      <c r="B35" s="37"/>
      <c r="C35" s="41" t="s">
        <v>227</v>
      </c>
      <c r="D35" s="42" t="s">
        <v>228</v>
      </c>
      <c r="H35" s="2"/>
    </row>
    <row r="36" spans="1:8" x14ac:dyDescent="0.25">
      <c r="A36" s="23"/>
      <c r="B36" s="37"/>
      <c r="C36" s="41" t="s">
        <v>229</v>
      </c>
      <c r="D36" s="42" t="s">
        <v>230</v>
      </c>
      <c r="H36" s="2"/>
    </row>
    <row r="37" spans="1:8" ht="15.75" thickBot="1" x14ac:dyDescent="0.3">
      <c r="A37" s="24"/>
      <c r="B37" s="38"/>
      <c r="C37" s="43" t="s">
        <v>231</v>
      </c>
      <c r="D37" s="44" t="s">
        <v>232</v>
      </c>
      <c r="H37" s="2" t="str">
        <f>COUNTA(D31:D37)&amp;" codes describing pipe other codes"</f>
        <v>7 codes describing pipe other codes</v>
      </c>
    </row>
    <row r="38" spans="1:8" ht="15" customHeight="1" x14ac:dyDescent="0.25">
      <c r="A38" s="34" t="s">
        <v>206</v>
      </c>
      <c r="B38" s="31" t="s">
        <v>185</v>
      </c>
      <c r="C38" s="25" t="s">
        <v>234</v>
      </c>
      <c r="D38" s="26" t="s">
        <v>36</v>
      </c>
      <c r="H38" s="2"/>
    </row>
    <row r="39" spans="1:8" ht="15" customHeight="1" x14ac:dyDescent="0.25">
      <c r="A39" s="35"/>
      <c r="B39" s="32"/>
      <c r="C39" s="27" t="s">
        <v>75</v>
      </c>
      <c r="D39" s="28" t="s">
        <v>38</v>
      </c>
      <c r="H39" s="2"/>
    </row>
    <row r="40" spans="1:8" x14ac:dyDescent="0.25">
      <c r="A40" s="35"/>
      <c r="B40" s="32"/>
      <c r="C40" s="27" t="s">
        <v>76</v>
      </c>
      <c r="D40" s="28" t="s">
        <v>40</v>
      </c>
      <c r="H40" s="2"/>
    </row>
    <row r="41" spans="1:8" x14ac:dyDescent="0.25">
      <c r="A41" s="35"/>
      <c r="B41" s="32"/>
      <c r="C41" s="27" t="s">
        <v>77</v>
      </c>
      <c r="D41" s="28" t="s">
        <v>192</v>
      </c>
      <c r="H41" s="2"/>
    </row>
    <row r="42" spans="1:8" x14ac:dyDescent="0.25">
      <c r="A42" s="35"/>
      <c r="B42" s="32"/>
      <c r="C42" s="27" t="s">
        <v>79</v>
      </c>
      <c r="D42" s="28" t="s">
        <v>193</v>
      </c>
      <c r="H42" s="2"/>
    </row>
    <row r="43" spans="1:8" x14ac:dyDescent="0.25">
      <c r="A43" s="35"/>
      <c r="B43" s="32"/>
      <c r="C43" s="27" t="s">
        <v>81</v>
      </c>
      <c r="D43" s="28" t="s">
        <v>194</v>
      </c>
      <c r="H43" s="2"/>
    </row>
    <row r="44" spans="1:8" x14ac:dyDescent="0.25">
      <c r="A44" s="35"/>
      <c r="B44" s="32"/>
      <c r="C44" s="27" t="s">
        <v>83</v>
      </c>
      <c r="D44" s="28" t="s">
        <v>195</v>
      </c>
      <c r="H44" s="2"/>
    </row>
    <row r="45" spans="1:8" x14ac:dyDescent="0.25">
      <c r="A45" s="35"/>
      <c r="B45" s="32"/>
      <c r="C45" s="27" t="s">
        <v>85</v>
      </c>
      <c r="D45" s="28" t="s">
        <v>196</v>
      </c>
      <c r="H45" s="2"/>
    </row>
    <row r="46" spans="1:8" x14ac:dyDescent="0.25">
      <c r="A46" s="35"/>
      <c r="B46" s="32"/>
      <c r="C46" s="27" t="s">
        <v>87</v>
      </c>
      <c r="D46" s="28" t="s">
        <v>88</v>
      </c>
      <c r="H46" s="2"/>
    </row>
    <row r="47" spans="1:8" x14ac:dyDescent="0.25">
      <c r="A47" s="35"/>
      <c r="B47" s="32"/>
      <c r="C47" s="27" t="s">
        <v>89</v>
      </c>
      <c r="D47" s="28" t="s">
        <v>43</v>
      </c>
      <c r="H47" s="2"/>
    </row>
    <row r="48" spans="1:8" x14ac:dyDescent="0.25">
      <c r="A48" s="35"/>
      <c r="B48" s="32"/>
      <c r="C48" s="27" t="s">
        <v>90</v>
      </c>
      <c r="D48" s="28" t="s">
        <v>199</v>
      </c>
      <c r="H48" s="2"/>
    </row>
    <row r="49" spans="1:8" x14ac:dyDescent="0.25">
      <c r="A49" s="35"/>
      <c r="B49" s="32"/>
      <c r="C49" s="27" t="s">
        <v>92</v>
      </c>
      <c r="D49" s="28" t="s">
        <v>51</v>
      </c>
      <c r="H49" s="2"/>
    </row>
    <row r="50" spans="1:8" x14ac:dyDescent="0.25">
      <c r="A50" s="35"/>
      <c r="B50" s="32"/>
      <c r="C50" s="27" t="s">
        <v>93</v>
      </c>
      <c r="D50" s="28" t="s">
        <v>201</v>
      </c>
      <c r="H50" s="2"/>
    </row>
    <row r="51" spans="1:8" x14ac:dyDescent="0.25">
      <c r="A51" s="35"/>
      <c r="B51" s="32"/>
      <c r="C51" s="27" t="s">
        <v>235</v>
      </c>
      <c r="D51" s="28" t="s">
        <v>236</v>
      </c>
      <c r="H51" s="2"/>
    </row>
    <row r="52" spans="1:8" x14ac:dyDescent="0.25">
      <c r="A52" s="35"/>
      <c r="B52" s="32"/>
      <c r="C52" s="27" t="s">
        <v>95</v>
      </c>
      <c r="D52" s="28" t="s">
        <v>55</v>
      </c>
      <c r="H52" s="2"/>
    </row>
    <row r="53" spans="1:8" x14ac:dyDescent="0.25">
      <c r="A53" s="35"/>
      <c r="B53" s="32"/>
      <c r="C53" s="27" t="s">
        <v>96</v>
      </c>
      <c r="D53" s="28" t="s">
        <v>57</v>
      </c>
      <c r="H53" s="2"/>
    </row>
    <row r="54" spans="1:8" x14ac:dyDescent="0.25">
      <c r="A54" s="35"/>
      <c r="B54" s="32"/>
      <c r="C54" s="27" t="s">
        <v>97</v>
      </c>
      <c r="D54" s="28" t="s">
        <v>98</v>
      </c>
      <c r="H54" s="2"/>
    </row>
    <row r="55" spans="1:8" ht="15.75" thickBot="1" x14ac:dyDescent="0.3">
      <c r="A55" s="35"/>
      <c r="B55" s="33"/>
      <c r="C55" s="29" t="s">
        <v>99</v>
      </c>
      <c r="D55" s="30" t="s">
        <v>100</v>
      </c>
      <c r="H55" s="2" t="str">
        <f>COUNTA(D38:D55)&amp;" codes describing fabric damage to manhole/inspection chamber"</f>
        <v>18 codes describing fabric damage to manhole/inspection chamber</v>
      </c>
    </row>
    <row r="56" spans="1:8" x14ac:dyDescent="0.25">
      <c r="A56" s="35"/>
      <c r="B56" s="31" t="s">
        <v>240</v>
      </c>
      <c r="C56" s="25" t="s">
        <v>241</v>
      </c>
      <c r="D56" s="26" t="s">
        <v>59</v>
      </c>
    </row>
    <row r="57" spans="1:8" x14ac:dyDescent="0.25">
      <c r="A57" s="35"/>
      <c r="B57" s="32"/>
      <c r="C57" s="27" t="s">
        <v>242</v>
      </c>
      <c r="D57" s="28" t="s">
        <v>61</v>
      </c>
    </row>
    <row r="58" spans="1:8" x14ac:dyDescent="0.25">
      <c r="A58" s="35"/>
      <c r="B58" s="32"/>
      <c r="C58" s="27" t="s">
        <v>243</v>
      </c>
      <c r="D58" s="28" t="s">
        <v>63</v>
      </c>
    </row>
    <row r="59" spans="1:8" x14ac:dyDescent="0.25">
      <c r="A59" s="35"/>
      <c r="B59" s="32"/>
      <c r="C59" s="27" t="s">
        <v>244</v>
      </c>
      <c r="D59" s="28" t="s">
        <v>203</v>
      </c>
    </row>
    <row r="60" spans="1:8" x14ac:dyDescent="0.25">
      <c r="A60" s="35"/>
      <c r="B60" s="32"/>
      <c r="C60" s="27" t="s">
        <v>245</v>
      </c>
      <c r="D60" s="28" t="s">
        <v>204</v>
      </c>
    </row>
    <row r="61" spans="1:8" x14ac:dyDescent="0.25">
      <c r="A61" s="35"/>
      <c r="B61" s="32"/>
      <c r="C61" s="27" t="s">
        <v>246</v>
      </c>
      <c r="D61" s="28" t="s">
        <v>71</v>
      </c>
    </row>
    <row r="62" spans="1:8" x14ac:dyDescent="0.25">
      <c r="A62" s="35"/>
      <c r="B62" s="32"/>
      <c r="C62" s="27" t="s">
        <v>247</v>
      </c>
      <c r="D62" s="28" t="s">
        <v>73</v>
      </c>
    </row>
    <row r="63" spans="1:8" ht="15.75" thickBot="1" x14ac:dyDescent="0.3">
      <c r="A63" s="35"/>
      <c r="B63" s="33"/>
      <c r="C63" s="29" t="s">
        <v>248</v>
      </c>
      <c r="D63" s="30" t="s">
        <v>205</v>
      </c>
      <c r="H63" s="2" t="str">
        <f>COUNTA(D56:D63)&amp;" codes describing operational damage to manhole/inspection chamber"</f>
        <v>8 codes describing operational damage to manhole/inspection chamber</v>
      </c>
    </row>
    <row r="64" spans="1:8" x14ac:dyDescent="0.25">
      <c r="A64" s="35"/>
      <c r="B64" s="36" t="s">
        <v>249</v>
      </c>
      <c r="C64" s="39" t="s">
        <v>250</v>
      </c>
      <c r="D64" s="40" t="s">
        <v>262</v>
      </c>
    </row>
    <row r="65" spans="1:8" x14ac:dyDescent="0.25">
      <c r="A65" s="35"/>
      <c r="B65" s="37"/>
      <c r="C65" s="41" t="s">
        <v>251</v>
      </c>
      <c r="D65" s="42" t="s">
        <v>211</v>
      </c>
    </row>
    <row r="66" spans="1:8" x14ac:dyDescent="0.25">
      <c r="A66" s="35"/>
      <c r="B66" s="37"/>
      <c r="C66" s="41" t="s">
        <v>252</v>
      </c>
      <c r="D66" s="42" t="s">
        <v>263</v>
      </c>
    </row>
    <row r="67" spans="1:8" x14ac:dyDescent="0.25">
      <c r="A67" s="35"/>
      <c r="B67" s="37"/>
      <c r="C67" s="41" t="s">
        <v>253</v>
      </c>
      <c r="D67" s="42" t="s">
        <v>264</v>
      </c>
    </row>
    <row r="68" spans="1:8" x14ac:dyDescent="0.25">
      <c r="A68" s="35"/>
      <c r="B68" s="37"/>
      <c r="C68" s="41" t="s">
        <v>254</v>
      </c>
      <c r="D68" s="42" t="s">
        <v>265</v>
      </c>
    </row>
    <row r="69" spans="1:8" x14ac:dyDescent="0.25">
      <c r="A69" s="35"/>
      <c r="B69" s="37"/>
      <c r="C69" s="41" t="s">
        <v>255</v>
      </c>
      <c r="D69" s="42" t="s">
        <v>266</v>
      </c>
    </row>
    <row r="70" spans="1:8" x14ac:dyDescent="0.25">
      <c r="A70" s="35"/>
      <c r="B70" s="37"/>
      <c r="C70" s="41" t="s">
        <v>256</v>
      </c>
      <c r="D70" s="42" t="s">
        <v>267</v>
      </c>
    </row>
    <row r="71" spans="1:8" x14ac:dyDescent="0.25">
      <c r="A71" s="35"/>
      <c r="B71" s="37"/>
      <c r="C71" s="41" t="s">
        <v>257</v>
      </c>
      <c r="D71" s="42" t="s">
        <v>268</v>
      </c>
    </row>
    <row r="72" spans="1:8" x14ac:dyDescent="0.25">
      <c r="A72" s="35"/>
      <c r="B72" s="37"/>
      <c r="C72" s="41" t="s">
        <v>258</v>
      </c>
      <c r="D72" s="42" t="s">
        <v>269</v>
      </c>
    </row>
    <row r="73" spans="1:8" x14ac:dyDescent="0.25">
      <c r="A73" s="35"/>
      <c r="B73" s="37"/>
      <c r="C73" s="41" t="s">
        <v>259</v>
      </c>
      <c r="D73" s="42" t="s">
        <v>270</v>
      </c>
    </row>
    <row r="74" spans="1:8" ht="15.75" thickBot="1" x14ac:dyDescent="0.3">
      <c r="A74" s="35"/>
      <c r="B74" s="38"/>
      <c r="C74" s="43" t="s">
        <v>260</v>
      </c>
      <c r="D74" s="44" t="s">
        <v>271</v>
      </c>
      <c r="H74" s="2" t="str">
        <f>COUNTA(D64:D74)&amp;" codes describing inventory codes for manhole/inspection chamber"</f>
        <v>11 codes describing inventory codes for manhole/inspection chamber</v>
      </c>
    </row>
    <row r="75" spans="1:8" x14ac:dyDescent="0.25">
      <c r="A75" s="35"/>
      <c r="B75" s="36" t="s">
        <v>261</v>
      </c>
      <c r="C75" s="39" t="s">
        <v>272</v>
      </c>
      <c r="D75" s="40" t="s">
        <v>220</v>
      </c>
    </row>
    <row r="76" spans="1:8" x14ac:dyDescent="0.25">
      <c r="A76" s="35"/>
      <c r="B76" s="37"/>
      <c r="C76" s="41" t="s">
        <v>273</v>
      </c>
      <c r="D76" s="42" t="s">
        <v>279</v>
      </c>
    </row>
    <row r="77" spans="1:8" x14ac:dyDescent="0.25">
      <c r="A77" s="35"/>
      <c r="B77" s="37"/>
      <c r="C77" s="41" t="s">
        <v>274</v>
      </c>
      <c r="D77" s="42" t="s">
        <v>280</v>
      </c>
    </row>
    <row r="78" spans="1:8" x14ac:dyDescent="0.25">
      <c r="A78" s="35"/>
      <c r="B78" s="37"/>
      <c r="C78" s="41" t="s">
        <v>275</v>
      </c>
      <c r="D78" s="42" t="s">
        <v>225</v>
      </c>
    </row>
    <row r="79" spans="1:8" x14ac:dyDescent="0.25">
      <c r="A79" s="35"/>
      <c r="B79" s="37"/>
      <c r="C79" s="41" t="s">
        <v>276</v>
      </c>
      <c r="D79" s="42" t="s">
        <v>228</v>
      </c>
    </row>
    <row r="80" spans="1:8" x14ac:dyDescent="0.25">
      <c r="A80" s="35"/>
      <c r="B80" s="37"/>
      <c r="C80" s="41" t="s">
        <v>277</v>
      </c>
      <c r="D80" s="42" t="s">
        <v>281</v>
      </c>
    </row>
    <row r="81" spans="1:8" ht="15.75" thickBot="1" x14ac:dyDescent="0.3">
      <c r="A81" s="35"/>
      <c r="B81" s="38"/>
      <c r="C81" s="43" t="s">
        <v>278</v>
      </c>
      <c r="D81" s="44" t="s">
        <v>232</v>
      </c>
      <c r="H81" s="2" t="str">
        <f>COUNTA(D75:D81)&amp;" codes describing other codes to manhole/inspection chamber"</f>
        <v>7 codes describing other codes to manhole/inspection chamber</v>
      </c>
    </row>
    <row r="85" spans="1:8" x14ac:dyDescent="0.25">
      <c r="H85" s="2" t="str">
        <f>COUNTA(D2:D81)&amp;" codes describing observations in DIN EN 13508-2"</f>
        <v>80 codes describing observations in DIN EN 13508-2</v>
      </c>
    </row>
  </sheetData>
  <mergeCells count="10">
    <mergeCell ref="B38:B55"/>
    <mergeCell ref="A38:A81"/>
    <mergeCell ref="B56:B63"/>
    <mergeCell ref="B64:B74"/>
    <mergeCell ref="B75:B81"/>
    <mergeCell ref="B2:B17"/>
    <mergeCell ref="B18:B25"/>
    <mergeCell ref="B26:B30"/>
    <mergeCell ref="B31:B37"/>
    <mergeCell ref="A2:A3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287F4-B4A8-4E85-B0B8-E0DB37A7DE99}">
  <dimension ref="B1:V349"/>
  <sheetViews>
    <sheetView tabSelected="1" zoomScale="115" zoomScaleNormal="115" workbookViewId="0">
      <selection activeCell="F21" sqref="F21"/>
    </sheetView>
  </sheetViews>
  <sheetFormatPr defaultRowHeight="15" x14ac:dyDescent="0.25"/>
  <cols>
    <col min="10" max="10" width="1.140625" style="8" customWidth="1"/>
    <col min="13" max="13" width="22" bestFit="1" customWidth="1"/>
  </cols>
  <sheetData>
    <row r="1" spans="2:21" x14ac:dyDescent="0.25">
      <c r="B1" s="9" t="s">
        <v>123</v>
      </c>
      <c r="C1" t="s">
        <v>122</v>
      </c>
      <c r="L1" s="9" t="s">
        <v>123</v>
      </c>
      <c r="M1" s="10" t="s">
        <v>179</v>
      </c>
      <c r="N1" s="9" t="s">
        <v>24</v>
      </c>
    </row>
    <row r="2" spans="2:21" x14ac:dyDescent="0.25">
      <c r="C2" t="s">
        <v>120</v>
      </c>
    </row>
    <row r="3" spans="2:21" x14ac:dyDescent="0.25">
      <c r="D3" t="s">
        <v>121</v>
      </c>
    </row>
    <row r="5" spans="2:21" x14ac:dyDescent="0.25">
      <c r="B5" s="9" t="s">
        <v>24</v>
      </c>
      <c r="C5" t="s">
        <v>122</v>
      </c>
      <c r="L5" s="9" t="s">
        <v>24</v>
      </c>
      <c r="M5" s="10" t="s">
        <v>178</v>
      </c>
      <c r="N5" s="9" t="s">
        <v>110</v>
      </c>
      <c r="U5" t="s">
        <v>25</v>
      </c>
    </row>
    <row r="6" spans="2:21" x14ac:dyDescent="0.25">
      <c r="C6" t="s">
        <v>27</v>
      </c>
      <c r="U6" t="s">
        <v>26</v>
      </c>
    </row>
    <row r="7" spans="2:21" x14ac:dyDescent="0.25">
      <c r="C7" t="s">
        <v>28</v>
      </c>
    </row>
    <row r="8" spans="2:21" x14ac:dyDescent="0.25">
      <c r="D8" t="s">
        <v>29</v>
      </c>
    </row>
    <row r="9" spans="2:21" x14ac:dyDescent="0.25">
      <c r="D9" t="s">
        <v>30</v>
      </c>
    </row>
    <row r="12" spans="2:21" x14ac:dyDescent="0.25">
      <c r="B12" s="9" t="s">
        <v>181</v>
      </c>
    </row>
    <row r="13" spans="2:21" x14ac:dyDescent="0.25">
      <c r="C13" s="9" t="s">
        <v>110</v>
      </c>
    </row>
    <row r="14" spans="2:21" x14ac:dyDescent="0.25">
      <c r="D14" t="s">
        <v>282</v>
      </c>
    </row>
    <row r="15" spans="2:21" x14ac:dyDescent="0.25">
      <c r="E15" t="s">
        <v>36</v>
      </c>
    </row>
    <row r="16" spans="2:21" x14ac:dyDescent="0.25">
      <c r="F16" t="s">
        <v>237</v>
      </c>
      <c r="G16" t="s">
        <v>239</v>
      </c>
    </row>
    <row r="17" spans="5:7" x14ac:dyDescent="0.25">
      <c r="F17" t="s">
        <v>238</v>
      </c>
      <c r="G17" t="s">
        <v>239</v>
      </c>
    </row>
    <row r="18" spans="5:7" x14ac:dyDescent="0.25">
      <c r="F18" t="s">
        <v>283</v>
      </c>
      <c r="G18" t="s">
        <v>285</v>
      </c>
    </row>
    <row r="19" spans="5:7" x14ac:dyDescent="0.25">
      <c r="F19" t="s">
        <v>284</v>
      </c>
      <c r="G19" t="s">
        <v>285</v>
      </c>
    </row>
    <row r="20" spans="5:7" x14ac:dyDescent="0.25">
      <c r="E20" t="s">
        <v>38</v>
      </c>
    </row>
    <row r="21" spans="5:7" x14ac:dyDescent="0.25">
      <c r="F21" t="s">
        <v>173</v>
      </c>
    </row>
    <row r="22" spans="5:7" x14ac:dyDescent="0.25">
      <c r="F22" t="s">
        <v>174</v>
      </c>
    </row>
    <row r="23" spans="5:7" x14ac:dyDescent="0.25">
      <c r="F23" t="s">
        <v>175</v>
      </c>
    </row>
    <row r="26" spans="5:7" x14ac:dyDescent="0.25">
      <c r="E26" t="s">
        <v>40</v>
      </c>
    </row>
    <row r="27" spans="5:7" x14ac:dyDescent="0.25">
      <c r="E27" t="s">
        <v>192</v>
      </c>
    </row>
    <row r="28" spans="5:7" x14ac:dyDescent="0.25">
      <c r="E28" t="s">
        <v>193</v>
      </c>
    </row>
    <row r="29" spans="5:7" x14ac:dyDescent="0.25">
      <c r="E29" t="s">
        <v>194</v>
      </c>
    </row>
    <row r="30" spans="5:7" x14ac:dyDescent="0.25">
      <c r="E30" t="s">
        <v>195</v>
      </c>
    </row>
    <row r="31" spans="5:7" x14ac:dyDescent="0.25">
      <c r="E31" t="s">
        <v>196</v>
      </c>
    </row>
    <row r="32" spans="5:7" x14ac:dyDescent="0.25">
      <c r="E32" t="s">
        <v>197</v>
      </c>
    </row>
    <row r="33" spans="5:5" x14ac:dyDescent="0.25">
      <c r="E33" t="s">
        <v>186</v>
      </c>
    </row>
    <row r="34" spans="5:5" x14ac:dyDescent="0.25">
      <c r="E34" t="s">
        <v>199</v>
      </c>
    </row>
    <row r="35" spans="5:5" x14ac:dyDescent="0.25">
      <c r="E35" t="s">
        <v>200</v>
      </c>
    </row>
    <row r="36" spans="5:5" x14ac:dyDescent="0.25">
      <c r="E36" t="s">
        <v>201</v>
      </c>
    </row>
    <row r="37" spans="5:5" x14ac:dyDescent="0.25">
      <c r="E37" t="s">
        <v>202</v>
      </c>
    </row>
    <row r="38" spans="5:5" x14ac:dyDescent="0.25">
      <c r="E38" t="s">
        <v>55</v>
      </c>
    </row>
    <row r="39" spans="5:5" x14ac:dyDescent="0.25">
      <c r="E39" t="s">
        <v>57</v>
      </c>
    </row>
    <row r="55" spans="4:22" x14ac:dyDescent="0.25">
      <c r="L55" s="9" t="s">
        <v>110</v>
      </c>
      <c r="M55" s="10" t="s">
        <v>168</v>
      </c>
      <c r="N55" s="9" t="s">
        <v>169</v>
      </c>
      <c r="U55" t="s">
        <v>166</v>
      </c>
    </row>
    <row r="56" spans="4:22" x14ac:dyDescent="0.25">
      <c r="D56" s="11" t="s">
        <v>183</v>
      </c>
      <c r="H56" s="2" t="s">
        <v>182</v>
      </c>
      <c r="V56" t="s">
        <v>165</v>
      </c>
    </row>
    <row r="57" spans="4:22" x14ac:dyDescent="0.25">
      <c r="E57" s="4" t="s">
        <v>111</v>
      </c>
      <c r="L57" s="5" t="s">
        <v>36</v>
      </c>
      <c r="M57" s="10" t="s">
        <v>168</v>
      </c>
      <c r="N57" s="5" t="s">
        <v>177</v>
      </c>
      <c r="P57" s="12" t="s">
        <v>180</v>
      </c>
    </row>
    <row r="58" spans="4:22" x14ac:dyDescent="0.25">
      <c r="F58" t="s">
        <v>36</v>
      </c>
    </row>
    <row r="61" spans="4:22" x14ac:dyDescent="0.25">
      <c r="F61" t="s">
        <v>38</v>
      </c>
    </row>
    <row r="65" spans="5:7" x14ac:dyDescent="0.25">
      <c r="F65" t="s">
        <v>188</v>
      </c>
      <c r="G65" t="s">
        <v>189</v>
      </c>
    </row>
    <row r="66" spans="5:7" x14ac:dyDescent="0.25">
      <c r="F66" t="s">
        <v>190</v>
      </c>
    </row>
    <row r="67" spans="5:7" x14ac:dyDescent="0.25">
      <c r="F67" t="s">
        <v>191</v>
      </c>
    </row>
    <row r="68" spans="5:7" x14ac:dyDescent="0.25">
      <c r="F68" t="s">
        <v>155</v>
      </c>
    </row>
    <row r="69" spans="5:7" x14ac:dyDescent="0.25">
      <c r="F69" t="s">
        <v>156</v>
      </c>
    </row>
    <row r="70" spans="5:7" x14ac:dyDescent="0.25">
      <c r="F70" t="s">
        <v>157</v>
      </c>
    </row>
    <row r="71" spans="5:7" x14ac:dyDescent="0.25">
      <c r="F71" t="s">
        <v>158</v>
      </c>
    </row>
    <row r="72" spans="5:7" x14ac:dyDescent="0.25">
      <c r="F72" t="s">
        <v>159</v>
      </c>
    </row>
    <row r="73" spans="5:7" x14ac:dyDescent="0.25">
      <c r="F73" t="s">
        <v>48</v>
      </c>
    </row>
    <row r="74" spans="5:7" x14ac:dyDescent="0.25">
      <c r="F74" t="s">
        <v>160</v>
      </c>
    </row>
    <row r="75" spans="5:7" x14ac:dyDescent="0.25">
      <c r="F75" t="s">
        <v>161</v>
      </c>
    </row>
    <row r="76" spans="5:7" x14ac:dyDescent="0.25">
      <c r="F76" t="s">
        <v>187</v>
      </c>
    </row>
    <row r="77" spans="5:7" x14ac:dyDescent="0.25">
      <c r="F77" t="s">
        <v>162</v>
      </c>
    </row>
    <row r="78" spans="5:7" x14ac:dyDescent="0.25">
      <c r="F78" t="s">
        <v>163</v>
      </c>
    </row>
    <row r="79" spans="5:7" x14ac:dyDescent="0.25">
      <c r="F79" t="s">
        <v>164</v>
      </c>
    </row>
    <row r="80" spans="5:7" x14ac:dyDescent="0.25">
      <c r="E80" s="5" t="s">
        <v>112</v>
      </c>
    </row>
    <row r="81" spans="4:6" x14ac:dyDescent="0.25">
      <c r="F81" s="5" t="s">
        <v>59</v>
      </c>
    </row>
    <row r="82" spans="4:6" x14ac:dyDescent="0.25">
      <c r="F82" s="5" t="s">
        <v>61</v>
      </c>
    </row>
    <row r="83" spans="4:6" x14ac:dyDescent="0.25">
      <c r="F83" s="5" t="s">
        <v>63</v>
      </c>
    </row>
    <row r="84" spans="4:6" x14ac:dyDescent="0.25">
      <c r="F84" s="5" t="s">
        <v>65</v>
      </c>
    </row>
    <row r="85" spans="4:6" x14ac:dyDescent="0.25">
      <c r="F85" s="5" t="s">
        <v>67</v>
      </c>
    </row>
    <row r="86" spans="4:6" x14ac:dyDescent="0.25">
      <c r="F86" s="5" t="s">
        <v>69</v>
      </c>
    </row>
    <row r="87" spans="4:6" x14ac:dyDescent="0.25">
      <c r="F87" s="5" t="s">
        <v>71</v>
      </c>
    </row>
    <row r="88" spans="4:6" x14ac:dyDescent="0.25">
      <c r="F88" s="5" t="s">
        <v>73</v>
      </c>
    </row>
    <row r="89" spans="4:6" x14ac:dyDescent="0.25">
      <c r="F89" s="5" t="s">
        <v>74</v>
      </c>
    </row>
    <row r="90" spans="4:6" x14ac:dyDescent="0.25">
      <c r="D90" s="6" t="s">
        <v>184</v>
      </c>
    </row>
    <row r="91" spans="4:6" x14ac:dyDescent="0.25">
      <c r="E91" s="6" t="s">
        <v>185</v>
      </c>
    </row>
    <row r="92" spans="4:6" x14ac:dyDescent="0.25">
      <c r="F92" s="5" t="s">
        <v>36</v>
      </c>
    </row>
    <row r="93" spans="4:6" x14ac:dyDescent="0.25">
      <c r="F93" s="6" t="s">
        <v>38</v>
      </c>
    </row>
    <row r="94" spans="4:6" x14ac:dyDescent="0.25">
      <c r="F94" s="6" t="s">
        <v>40</v>
      </c>
    </row>
    <row r="95" spans="4:6" x14ac:dyDescent="0.25">
      <c r="F95" s="6" t="s">
        <v>78</v>
      </c>
    </row>
    <row r="96" spans="4:6" x14ac:dyDescent="0.25">
      <c r="F96" s="6" t="s">
        <v>80</v>
      </c>
    </row>
    <row r="97" spans="6:6" x14ac:dyDescent="0.25">
      <c r="F97" s="6" t="s">
        <v>82</v>
      </c>
    </row>
    <row r="98" spans="6:6" x14ac:dyDescent="0.25">
      <c r="F98" s="6" t="s">
        <v>84</v>
      </c>
    </row>
    <row r="99" spans="6:6" x14ac:dyDescent="0.25">
      <c r="F99" s="6" t="s">
        <v>86</v>
      </c>
    </row>
    <row r="100" spans="6:6" x14ac:dyDescent="0.25">
      <c r="F100" s="6" t="s">
        <v>88</v>
      </c>
    </row>
    <row r="101" spans="6:6" x14ac:dyDescent="0.25">
      <c r="F101" s="6" t="s">
        <v>186</v>
      </c>
    </row>
    <row r="102" spans="6:6" x14ac:dyDescent="0.25">
      <c r="F102" s="6" t="s">
        <v>91</v>
      </c>
    </row>
    <row r="103" spans="6:6" x14ac:dyDescent="0.25">
      <c r="F103" s="6" t="s">
        <v>51</v>
      </c>
    </row>
    <row r="104" spans="6:6" x14ac:dyDescent="0.25">
      <c r="F104" s="6" t="s">
        <v>94</v>
      </c>
    </row>
    <row r="105" spans="6:6" x14ac:dyDescent="0.25">
      <c r="F105" s="6" t="s">
        <v>55</v>
      </c>
    </row>
    <row r="106" spans="6:6" x14ac:dyDescent="0.25">
      <c r="F106" s="6" t="s">
        <v>57</v>
      </c>
    </row>
    <row r="107" spans="6:6" x14ac:dyDescent="0.25">
      <c r="F107" s="6" t="s">
        <v>98</v>
      </c>
    </row>
    <row r="108" spans="6:6" x14ac:dyDescent="0.25">
      <c r="F108" s="6" t="s">
        <v>100</v>
      </c>
    </row>
    <row r="317" spans="2:3" x14ac:dyDescent="0.25">
      <c r="B317" s="9" t="s">
        <v>169</v>
      </c>
    </row>
    <row r="318" spans="2:3" x14ac:dyDescent="0.25">
      <c r="C318" t="s">
        <v>114</v>
      </c>
    </row>
    <row r="319" spans="2:3" x14ac:dyDescent="0.25">
      <c r="C319" t="s">
        <v>170</v>
      </c>
    </row>
    <row r="320" spans="2:3" x14ac:dyDescent="0.25">
      <c r="C320" t="s">
        <v>171</v>
      </c>
    </row>
    <row r="321" spans="2:3" x14ac:dyDescent="0.25">
      <c r="C321" t="s">
        <v>172</v>
      </c>
    </row>
    <row r="322" spans="2:3" x14ac:dyDescent="0.25">
      <c r="C322" t="s">
        <v>176</v>
      </c>
    </row>
    <row r="323" spans="2:3" x14ac:dyDescent="0.25">
      <c r="C323" t="s">
        <v>177</v>
      </c>
    </row>
    <row r="326" spans="2:3" x14ac:dyDescent="0.25">
      <c r="B326" s="9" t="s">
        <v>116</v>
      </c>
    </row>
    <row r="327" spans="2:3" x14ac:dyDescent="0.25">
      <c r="C327" t="s">
        <v>167</v>
      </c>
    </row>
    <row r="337" spans="2:3" x14ac:dyDescent="0.25">
      <c r="B337" s="9" t="s">
        <v>113</v>
      </c>
    </row>
    <row r="338" spans="2:3" x14ac:dyDescent="0.25">
      <c r="C338" t="s">
        <v>114</v>
      </c>
    </row>
    <row r="339" spans="2:3" x14ac:dyDescent="0.25">
      <c r="C339" t="s">
        <v>115</v>
      </c>
    </row>
    <row r="347" spans="2:3" x14ac:dyDescent="0.25">
      <c r="B347" s="2" t="s">
        <v>117</v>
      </c>
    </row>
    <row r="348" spans="2:3" x14ac:dyDescent="0.25">
      <c r="C348" t="s">
        <v>118</v>
      </c>
    </row>
    <row r="349" spans="2:3" x14ac:dyDescent="0.25">
      <c r="C349" t="s">
        <v>119</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F5693-0352-45C2-96CE-72CC0E79C541}">
  <dimension ref="B2:C32"/>
  <sheetViews>
    <sheetView workbookViewId="0">
      <selection activeCell="B30" sqref="B30"/>
    </sheetView>
  </sheetViews>
  <sheetFormatPr defaultRowHeight="15" x14ac:dyDescent="0.25"/>
  <sheetData>
    <row r="2" spans="2:3" x14ac:dyDescent="0.25">
      <c r="B2" t="s">
        <v>101</v>
      </c>
    </row>
    <row r="3" spans="2:3" x14ac:dyDescent="0.25">
      <c r="C3" t="s">
        <v>23</v>
      </c>
    </row>
    <row r="4" spans="2:3" x14ac:dyDescent="0.25">
      <c r="C4" t="s">
        <v>102</v>
      </c>
    </row>
    <row r="8" spans="2:3" x14ac:dyDescent="0.25">
      <c r="B8" t="s">
        <v>103</v>
      </c>
    </row>
    <row r="9" spans="2:3" x14ac:dyDescent="0.25">
      <c r="C9" t="s">
        <v>104</v>
      </c>
    </row>
    <row r="13" spans="2:3" x14ac:dyDescent="0.25">
      <c r="B13" t="s">
        <v>105</v>
      </c>
    </row>
    <row r="14" spans="2:3" x14ac:dyDescent="0.25">
      <c r="C14" t="s">
        <v>106</v>
      </c>
    </row>
    <row r="15" spans="2:3" x14ac:dyDescent="0.25">
      <c r="C15" t="s">
        <v>107</v>
      </c>
    </row>
    <row r="16" spans="2:3" x14ac:dyDescent="0.25">
      <c r="C16" t="s">
        <v>108</v>
      </c>
    </row>
    <row r="20" spans="2:3" x14ac:dyDescent="0.25">
      <c r="B20" t="s">
        <v>109</v>
      </c>
    </row>
    <row r="30" spans="2:3" x14ac:dyDescent="0.25">
      <c r="B30" t="s">
        <v>152</v>
      </c>
    </row>
    <row r="31" spans="2:3" x14ac:dyDescent="0.25">
      <c r="C31" t="s">
        <v>153</v>
      </c>
    </row>
    <row r="32" spans="2:3" x14ac:dyDescent="0.25">
      <c r="C32" t="s">
        <v>154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7344D-147E-4A9F-8605-ACEE8F32D4BC}">
  <dimension ref="B2:D29"/>
  <sheetViews>
    <sheetView workbookViewId="0">
      <selection activeCell="H21" sqref="H21"/>
    </sheetView>
  </sheetViews>
  <sheetFormatPr defaultRowHeight="15" x14ac:dyDescent="0.25"/>
  <sheetData>
    <row r="2" spans="2:3" x14ac:dyDescent="0.25">
      <c r="B2" t="s">
        <v>124</v>
      </c>
      <c r="C2" t="s">
        <v>122</v>
      </c>
    </row>
    <row r="3" spans="2:3" x14ac:dyDescent="0.25">
      <c r="C3" t="s">
        <v>125</v>
      </c>
    </row>
    <row r="4" spans="2:3" x14ac:dyDescent="0.25">
      <c r="C4" t="s">
        <v>126</v>
      </c>
    </row>
    <row r="5" spans="2:3" x14ac:dyDescent="0.25">
      <c r="C5" t="s">
        <v>127</v>
      </c>
    </row>
    <row r="6" spans="2:3" x14ac:dyDescent="0.25">
      <c r="C6" t="s">
        <v>128</v>
      </c>
    </row>
    <row r="7" spans="2:3" x14ac:dyDescent="0.25">
      <c r="C7" t="s">
        <v>129</v>
      </c>
    </row>
    <row r="8" spans="2:3" x14ac:dyDescent="0.25">
      <c r="C8" t="s">
        <v>130</v>
      </c>
    </row>
    <row r="9" spans="2:3" x14ac:dyDescent="0.25">
      <c r="C9" t="s">
        <v>131</v>
      </c>
    </row>
    <row r="10" spans="2:3" x14ac:dyDescent="0.25">
      <c r="C10" t="s">
        <v>132</v>
      </c>
    </row>
    <row r="11" spans="2:3" x14ac:dyDescent="0.25">
      <c r="C11" t="s">
        <v>133</v>
      </c>
    </row>
    <row r="12" spans="2:3" x14ac:dyDescent="0.25">
      <c r="C12" t="s">
        <v>134</v>
      </c>
    </row>
    <row r="13" spans="2:3" x14ac:dyDescent="0.25">
      <c r="C13" t="s">
        <v>135</v>
      </c>
    </row>
    <row r="14" spans="2:3" x14ac:dyDescent="0.25">
      <c r="C14" t="s">
        <v>136</v>
      </c>
    </row>
    <row r="15" spans="2:3" x14ac:dyDescent="0.25">
      <c r="C15" t="s">
        <v>137</v>
      </c>
    </row>
    <row r="16" spans="2:3" x14ac:dyDescent="0.25">
      <c r="C16" t="s">
        <v>138</v>
      </c>
    </row>
    <row r="17" spans="3:4" x14ac:dyDescent="0.25">
      <c r="D17" t="s">
        <v>139</v>
      </c>
    </row>
    <row r="18" spans="3:4" x14ac:dyDescent="0.25">
      <c r="D18" t="s">
        <v>140</v>
      </c>
    </row>
    <row r="19" spans="3:4" x14ac:dyDescent="0.25">
      <c r="D19" t="s">
        <v>141</v>
      </c>
    </row>
    <row r="20" spans="3:4" x14ac:dyDescent="0.25">
      <c r="C20" t="s">
        <v>142</v>
      </c>
    </row>
    <row r="21" spans="3:4" x14ac:dyDescent="0.25">
      <c r="D21" t="s">
        <v>143</v>
      </c>
    </row>
    <row r="22" spans="3:4" x14ac:dyDescent="0.25">
      <c r="D22" t="s">
        <v>144</v>
      </c>
    </row>
    <row r="23" spans="3:4" x14ac:dyDescent="0.25">
      <c r="D23" t="s">
        <v>145</v>
      </c>
    </row>
    <row r="24" spans="3:4" x14ac:dyDescent="0.25">
      <c r="C24" t="s">
        <v>146</v>
      </c>
    </row>
    <row r="25" spans="3:4" x14ac:dyDescent="0.25">
      <c r="C25" t="s">
        <v>147</v>
      </c>
    </row>
    <row r="26" spans="3:4" x14ac:dyDescent="0.25">
      <c r="C26" t="s">
        <v>148</v>
      </c>
    </row>
    <row r="27" spans="3:4" x14ac:dyDescent="0.25">
      <c r="C27" t="s">
        <v>149</v>
      </c>
    </row>
    <row r="28" spans="3:4" x14ac:dyDescent="0.25">
      <c r="C28" t="s">
        <v>150</v>
      </c>
    </row>
    <row r="29" spans="3:4" x14ac:dyDescent="0.25">
      <c r="C29" t="s">
        <v>151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XML Structure</vt:lpstr>
      <vt:lpstr>Codes</vt:lpstr>
      <vt:lpstr>Classes bzw. Taxonomies</vt:lpstr>
      <vt:lpstr>Notes</vt:lpstr>
      <vt:lpstr>Data Properties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J</dc:creator>
  <cp:lastModifiedBy>Luis J</cp:lastModifiedBy>
  <dcterms:created xsi:type="dcterms:W3CDTF">2025-08-22T10:39:51Z</dcterms:created>
  <dcterms:modified xsi:type="dcterms:W3CDTF">2025-09-10T11:31:19Z</dcterms:modified>
</cp:coreProperties>
</file>